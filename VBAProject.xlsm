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wbMain"/>
  <mc:AlternateContent xmlns:mc="http://schemas.openxmlformats.org/markup-compatibility/2006">
    <mc:Choice Requires="x15">
      <x15ac:absPath xmlns:x15ac="http://schemas.microsoft.com/office/spreadsheetml/2010/11/ac" url="Z:\github.com\yasuhiro112358\WBS\"/>
    </mc:Choice>
  </mc:AlternateContent>
  <xr:revisionPtr revIDLastSave="0" documentId="13_ncr:1_{57268924-B3BE-4972-82F5-A3BF3C827DAC}" xr6:coauthVersionLast="47" xr6:coauthVersionMax="47" xr10:uidLastSave="{00000000-0000-0000-0000-000000000000}"/>
  <bookViews>
    <workbookView minimized="1" xWindow="735" yWindow="1110" windowWidth="21315" windowHeight="11587" activeTab="6" xr2:uid="{00000000-000D-0000-FFFF-FFFF00000000}"/>
  </bookViews>
  <sheets>
    <sheet name="WBS data" sheetId="1" r:id="rId1"/>
    <sheet name="Resource Allocation" sheetId="2" r:id="rId2"/>
    <sheet name="Settings" sheetId="3" r:id="rId3"/>
    <sheet name="test" sheetId="4" r:id="rId4"/>
    <sheet name="test2" sheetId="5" r:id="rId5"/>
    <sheet name="Database" sheetId="6" r:id="rId6"/>
    <sheet name="Tasks" sheetId="7" r:id="rId7"/>
    <sheet name="Resources" sheetId="8" r:id="rId8"/>
    <sheet name="(note)" sheetId="9" r:id="rId9"/>
  </sheets>
  <functionGroups builtInGroupCount="19"/>
  <definedNames>
    <definedName name="_xleta.TO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1" l="1"/>
  <c r="H5" i="1"/>
  <c r="G6" i="1"/>
  <c r="H6" i="1"/>
  <c r="G7" i="1"/>
  <c r="H7" i="1"/>
  <c r="G8" i="1"/>
  <c r="H8" i="1"/>
  <c r="G9" i="1"/>
  <c r="H9" i="1"/>
  <c r="M3" i="1"/>
  <c r="H4" i="1"/>
  <c r="G4" i="1"/>
</calcChain>
</file>

<file path=xl/sharedStrings.xml><?xml version="1.0" encoding="utf-8"?>
<sst xmlns="http://schemas.openxmlformats.org/spreadsheetml/2006/main" count="107" uniqueCount="72">
  <si>
    <t>Task ID</t>
  </si>
  <si>
    <t>Task Name</t>
  </si>
  <si>
    <t>Start Date</t>
  </si>
  <si>
    <t>End Date</t>
  </si>
  <si>
    <t>Progress (%)</t>
  </si>
  <si>
    <t>Duration</t>
  </si>
  <si>
    <t>Baseline Start Date</t>
  </si>
  <si>
    <t>Baseline End Date</t>
  </si>
  <si>
    <t>Baseline Work Hours</t>
  </si>
  <si>
    <t>Assigned Work Hours</t>
  </si>
  <si>
    <t>Actual Work Hours</t>
  </si>
  <si>
    <t>Remaining Work Hours</t>
  </si>
  <si>
    <t>Actual Start Date</t>
  </si>
  <si>
    <t>Actual End Date</t>
  </si>
  <si>
    <t>Predecessor Task</t>
  </si>
  <si>
    <t>Resource Name</t>
  </si>
  <si>
    <t>Assigned Task Count</t>
  </si>
  <si>
    <t>e85d4425-0bd4-4b6c-a716-5b4c29f3f1fa</t>
  </si>
  <si>
    <t>SampleTask</t>
  </si>
  <si>
    <t>9948cd18-617b-476f-b989-12402688c060</t>
  </si>
  <si>
    <t>Make WBS program</t>
  </si>
  <si>
    <t>49895ec9-6b20-43cf-9ac0-c739efa0af0f</t>
  </si>
  <si>
    <t>Go to Sento</t>
  </si>
  <si>
    <t>149c0095-68b7-4516-ac9a-c6cbbb3c13fd</t>
  </si>
  <si>
    <t>b8944c0c-db06-4dc5-bd0f-58c09749a44d</t>
  </si>
  <si>
    <t>sample</t>
  </si>
  <si>
    <t>a4105c43-7450-473d-ace5-81a6f1e95273</t>
  </si>
  <si>
    <t>f2058e86-ddab-4f57-9b26-8d868397ae54</t>
  </si>
  <si>
    <t>428395e7-3ab9-4c2c-8f10-c671120b8837</t>
  </si>
  <si>
    <t>bc6eb1ab-0664-4fcb-9b45-6f1a51216f87</t>
  </si>
  <si>
    <t>Sample Task 1</t>
  </si>
  <si>
    <t>Sample Task 1 updated</t>
  </si>
  <si>
    <t>b5a32917-e4c6-44ea-a618-bed08e6a8875</t>
  </si>
  <si>
    <t>08a8d13a-752b-4e81-b677-35192e174dc4</t>
  </si>
  <si>
    <t>Phase A</t>
  </si>
  <si>
    <t>Task A-1</t>
  </si>
  <si>
    <t>Phase B</t>
  </si>
  <si>
    <t>Parent ID</t>
  </si>
  <si>
    <t>Test Project</t>
  </si>
  <si>
    <t>d9fe3bf3-81fa-4091-8c40-464ff6422a66</t>
  </si>
  <si>
    <t>6403f065-7274-4a82-ba86-1c7c9d031152</t>
  </si>
  <si>
    <t>New Task from VBA</t>
  </si>
  <si>
    <t>* Test Project</t>
  </si>
  <si>
    <t xml:space="preserve">        * Phase A</t>
  </si>
  <si>
    <t xml:space="preserve">        * Phase B</t>
  </si>
  <si>
    <t xml:space="preserve">        * New Task from VBA</t>
  </si>
  <si>
    <t>Id</t>
  </si>
  <si>
    <t>Name</t>
  </si>
  <si>
    <t>ResourceId</t>
  </si>
  <si>
    <t>ParentId</t>
  </si>
  <si>
    <t>StartDate</t>
  </si>
  <si>
    <t>EndDate</t>
  </si>
  <si>
    <t>Progress</t>
  </si>
  <si>
    <t>BaselineStartDate</t>
  </si>
  <si>
    <t>BaselineEndDate</t>
  </si>
  <si>
    <t>BaselineWorkHours</t>
  </si>
  <si>
    <t>AssignedWorkHours</t>
  </si>
  <si>
    <t>ActualWorkHours</t>
  </si>
  <si>
    <t>ActualStartDate</t>
  </si>
  <si>
    <t>ActualEndDate</t>
  </si>
  <si>
    <t>PredecessorId</t>
  </si>
  <si>
    <t>RemainingWorkHours =  AssignedWorkHours - ActualWorkHours</t>
  </si>
  <si>
    <t>Progress = ActualWorkHours / AssignedWorkHours OR Actual Progress PM decides</t>
  </si>
  <si>
    <t>[x] Duration = EndDate - StartDate + 1   =&gt; Needs to caluculate calendar dates</t>
  </si>
  <si>
    <t xml:space="preserve">                * Task A-1</t>
  </si>
  <si>
    <t>プロジェクト開始</t>
  </si>
  <si>
    <t>R001</t>
  </si>
  <si>
    <t>要件定義</t>
  </si>
  <si>
    <t>R002</t>
  </si>
  <si>
    <t>1.1.1</t>
  </si>
  <si>
    <t>ヒアリング</t>
  </si>
  <si>
    <t>R003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</si>
</sst>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6"/>
      <name val="Calibri"/>
      <family val="3"/>
      <charset val="128"/>
      <scheme val="minor"/>
    </font>
    <font>
      <sz val="11"/>
      <color theme="1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vertical="center" wrapText="1"/>
    </xf>
    <xf numFmtId="14" fontId="0" fillId="0" borderId="0" xfId="0" applyNumberFormat="1"/>
    <xf numFmtId="0" fontId="1" fillId="2" borderId="0" xfId="0" applyFont="1" applyFill="1" applyAlignment="1">
      <alignment horizontal="center" vertical="center" wrapText="1"/>
    </xf>
    <xf numFmtId="16" fontId="0" fillId="0" borderId="0" xfId="0" applyNumberFormat="1"/>
    <xf numFmtId="0" fontId="4" fillId="0" borderId="0" xfId="0" applyFont="1" applyAlignment="1">
      <alignment horizontal="center"/>
    </xf>
    <xf numFmtId="0" fontId="4" fillId="0" borderId="0" xfId="0" applyFont="1"/>
    <xf numFmtId="14" fontId="0" fillId="0" borderId="0" xfId="0" applyNumberFormat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152400</xdr:rowOff>
        </xdr:from>
        <xdr:to>
          <xdr:col>19</xdr:col>
          <xdr:colOff>133350</xdr:colOff>
          <xdr:row>0</xdr:row>
          <xdr:rowOff>438150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533400</xdr:colOff>
          <xdr:row>2</xdr:row>
          <xdr:rowOff>66675</xdr:rowOff>
        </xdr:from>
        <xdr:to>
          <xdr:col>19</xdr:col>
          <xdr:colOff>171450</xdr:colOff>
          <xdr:row>3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Task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WBS"/>
  <dimension ref="A1:P11"/>
  <sheetViews>
    <sheetView workbookViewId="0">
      <selection activeCell="D14" sqref="D14"/>
    </sheetView>
  </sheetViews>
  <sheetFormatPr defaultRowHeight="14.25"/>
  <cols>
    <col min="1" max="1" width="41.33203125" customWidth="1"/>
    <col min="2" max="2" width="18.46484375" bestFit="1" customWidth="1"/>
    <col min="3" max="3" width="10.33203125" customWidth="1"/>
    <col min="4" max="4" width="12.46484375" customWidth="1"/>
    <col min="5" max="5" width="8.53125" bestFit="1" customWidth="1"/>
    <col min="6" max="6" width="8.6640625" bestFit="1" customWidth="1"/>
    <col min="7" max="8" width="10.46484375" bestFit="1" customWidth="1"/>
    <col min="9" max="9" width="8.53125" bestFit="1" customWidth="1"/>
    <col min="10" max="10" width="11.46484375" customWidth="1"/>
    <col min="11" max="11" width="13.53125" customWidth="1"/>
    <col min="12" max="12" width="14.86328125" customWidth="1"/>
    <col min="13" max="13" width="12.1328125" customWidth="1"/>
    <col min="14" max="14" width="10.46484375" bestFit="1" customWidth="1"/>
    <col min="15" max="15" width="8.86328125" bestFit="1" customWidth="1"/>
    <col min="16" max="16" width="8" bestFit="1" customWidth="1"/>
  </cols>
  <sheetData>
    <row r="1" spans="1:16" ht="42.7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</row>
    <row r="2" spans="1:16">
      <c r="A2" t="s">
        <v>17</v>
      </c>
      <c r="B2" t="s">
        <v>18</v>
      </c>
      <c r="C2" s="2">
        <v>45738</v>
      </c>
      <c r="E2">
        <v>56.25</v>
      </c>
      <c r="G2" s="4">
        <v>45738</v>
      </c>
      <c r="H2" s="2">
        <v>45738</v>
      </c>
      <c r="I2">
        <v>15</v>
      </c>
      <c r="J2">
        <v>16</v>
      </c>
      <c r="K2">
        <v>9</v>
      </c>
      <c r="L2">
        <v>7</v>
      </c>
    </row>
    <row r="3" spans="1:16">
      <c r="A3" t="s">
        <v>19</v>
      </c>
      <c r="B3" t="s">
        <v>20</v>
      </c>
      <c r="C3" s="2">
        <v>45739</v>
      </c>
      <c r="E3">
        <v>42.857142857142854</v>
      </c>
      <c r="G3" s="4">
        <v>45738</v>
      </c>
      <c r="H3" s="2">
        <v>45738</v>
      </c>
      <c r="I3">
        <v>15</v>
      </c>
      <c r="J3">
        <v>7</v>
      </c>
      <c r="K3">
        <v>3</v>
      </c>
      <c r="L3">
        <v>4</v>
      </c>
      <c r="M3" s="2">
        <f ca="1">TODAY()</f>
        <v>45748</v>
      </c>
    </row>
    <row r="4" spans="1:16">
      <c r="A4" t="s">
        <v>21</v>
      </c>
      <c r="B4" t="s">
        <v>22</v>
      </c>
      <c r="C4" s="2">
        <v>45739</v>
      </c>
      <c r="D4" s="2">
        <v>45739</v>
      </c>
      <c r="E4">
        <v>60</v>
      </c>
      <c r="G4" s="2">
        <f ca="1">TODAY()</f>
        <v>45748</v>
      </c>
      <c r="H4" s="2">
        <f ca="1">TODAY()</f>
        <v>45748</v>
      </c>
      <c r="I4">
        <v>1</v>
      </c>
      <c r="J4">
        <v>5</v>
      </c>
      <c r="K4">
        <v>3</v>
      </c>
      <c r="L4">
        <v>2</v>
      </c>
    </row>
    <row r="5" spans="1:16">
      <c r="A5" t="s">
        <v>23</v>
      </c>
      <c r="C5" s="2">
        <v>45740</v>
      </c>
      <c r="D5" s="2">
        <v>45739</v>
      </c>
      <c r="E5">
        <v>81.818181818181827</v>
      </c>
      <c r="G5" s="2">
        <f t="shared" ref="G5:H9" ca="1" si="0">TODAY()</f>
        <v>45748</v>
      </c>
      <c r="H5" s="2">
        <f t="shared" ca="1" si="0"/>
        <v>45748</v>
      </c>
      <c r="I5">
        <v>3</v>
      </c>
      <c r="J5">
        <v>11</v>
      </c>
      <c r="K5">
        <v>9</v>
      </c>
      <c r="L5">
        <v>2</v>
      </c>
      <c r="M5" s="2">
        <v>45740</v>
      </c>
    </row>
    <row r="6" spans="1:16">
      <c r="A6" t="s">
        <v>24</v>
      </c>
      <c r="C6" s="2">
        <v>45739</v>
      </c>
      <c r="D6" s="2">
        <v>45740</v>
      </c>
      <c r="E6">
        <v>75</v>
      </c>
      <c r="G6" s="2">
        <f t="shared" ca="1" si="0"/>
        <v>45748</v>
      </c>
      <c r="H6" s="2">
        <f t="shared" ca="1" si="0"/>
        <v>45748</v>
      </c>
      <c r="I6">
        <v>60</v>
      </c>
      <c r="J6">
        <v>20</v>
      </c>
      <c r="K6">
        <v>15</v>
      </c>
      <c r="L6">
        <v>5</v>
      </c>
      <c r="M6" s="2"/>
      <c r="N6" s="2">
        <v>45740</v>
      </c>
    </row>
    <row r="7" spans="1:16">
      <c r="A7" t="s">
        <v>26</v>
      </c>
      <c r="B7" t="s">
        <v>25</v>
      </c>
      <c r="C7" s="2">
        <v>45740</v>
      </c>
      <c r="D7" s="2">
        <v>45740</v>
      </c>
      <c r="E7">
        <v>68.965517241379317</v>
      </c>
      <c r="G7" s="2">
        <f t="shared" ca="1" si="0"/>
        <v>45748</v>
      </c>
      <c r="H7" s="2">
        <f t="shared" ca="1" si="0"/>
        <v>45748</v>
      </c>
      <c r="I7">
        <v>10</v>
      </c>
      <c r="J7">
        <v>29</v>
      </c>
      <c r="K7">
        <v>20</v>
      </c>
      <c r="L7">
        <v>9</v>
      </c>
      <c r="M7" s="2">
        <v>45740</v>
      </c>
      <c r="N7" s="2">
        <v>45740</v>
      </c>
    </row>
    <row r="8" spans="1:16">
      <c r="A8" t="s">
        <v>27</v>
      </c>
      <c r="C8" s="2">
        <v>45739</v>
      </c>
      <c r="D8" s="2">
        <v>45739</v>
      </c>
      <c r="E8">
        <v>0</v>
      </c>
      <c r="G8" s="2">
        <f t="shared" ca="1" si="0"/>
        <v>45748</v>
      </c>
      <c r="H8" s="2">
        <f t="shared" ca="1" si="0"/>
        <v>45748</v>
      </c>
      <c r="I8">
        <v>8</v>
      </c>
      <c r="J8">
        <v>40</v>
      </c>
      <c r="L8">
        <v>40</v>
      </c>
    </row>
    <row r="9" spans="1:16">
      <c r="A9" t="s">
        <v>28</v>
      </c>
      <c r="E9">
        <v>86.666666666666671</v>
      </c>
      <c r="G9" s="2">
        <f t="shared" ca="1" si="0"/>
        <v>45748</v>
      </c>
      <c r="H9" s="2">
        <f t="shared" ca="1" si="0"/>
        <v>45748</v>
      </c>
      <c r="I9">
        <v>9</v>
      </c>
      <c r="J9">
        <v>15</v>
      </c>
      <c r="K9">
        <v>13</v>
      </c>
      <c r="L9">
        <v>2</v>
      </c>
    </row>
    <row r="10" spans="1:16">
      <c r="A10" t="s">
        <v>29</v>
      </c>
      <c r="I10">
        <v>33</v>
      </c>
    </row>
    <row r="11" spans="1:16">
      <c r="A11" t="s">
        <v>24</v>
      </c>
    </row>
  </sheetData>
  <phoneticPr fontId="3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Task">
                <anchor moveWithCells="1">
                  <from>
                    <xdr:col>16</xdr:col>
                    <xdr:colOff>495300</xdr:colOff>
                    <xdr:row>0</xdr:row>
                    <xdr:rowOff>152400</xdr:rowOff>
                  </from>
                  <to>
                    <xdr:col>19</xdr:col>
                    <xdr:colOff>133350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freshTask">
                <anchor moveWithCells="1">
                  <from>
                    <xdr:col>16</xdr:col>
                    <xdr:colOff>533400</xdr:colOff>
                    <xdr:row>2</xdr:row>
                    <xdr:rowOff>66675</xdr:rowOff>
                  </from>
                  <to>
                    <xdr:col>19</xdr:col>
                    <xdr:colOff>171450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1B2E-62E7-412C-8CA9-1DA6795B2ECA}">
  <sheetPr codeName="shtResourceAllocation"/>
  <dimension ref="A1:B1"/>
  <sheetViews>
    <sheetView workbookViewId="0">
      <selection activeCell="H17" sqref="H17"/>
    </sheetView>
  </sheetViews>
  <sheetFormatPr defaultRowHeight="14.25"/>
  <sheetData>
    <row r="1" spans="1:2" ht="42.75">
      <c r="A1" s="1" t="s">
        <v>15</v>
      </c>
      <c r="B1" s="1" t="s">
        <v>16</v>
      </c>
    </row>
  </sheetData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E1287-0E3E-4F38-8ACB-5F013162C77F}">
  <sheetPr codeName="shtSettings"/>
  <dimension ref="A1"/>
  <sheetViews>
    <sheetView workbookViewId="0">
      <selection activeCell="E14" sqref="E14"/>
    </sheetView>
  </sheetViews>
  <sheetFormatPr defaultRowHeight="14.25"/>
  <cols>
    <col min="5" max="5" width="23.6640625" customWidth="1"/>
  </cols>
  <sheetData/>
  <phoneticPr fontId="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6B936-D87C-4126-95D7-AC34F16526BE}">
  <sheetPr codeName="shtTest"/>
  <dimension ref="A1:P3"/>
  <sheetViews>
    <sheetView workbookViewId="0">
      <selection sqref="A1:P1"/>
    </sheetView>
  </sheetViews>
  <sheetFormatPr defaultRowHeight="14.25"/>
  <cols>
    <col min="1" max="1" width="41.33203125" customWidth="1"/>
    <col min="2" max="2" width="26.33203125" customWidth="1"/>
    <col min="3" max="3" width="15.53125" customWidth="1"/>
    <col min="4" max="4" width="15.6640625" customWidth="1"/>
  </cols>
  <sheetData>
    <row r="1" spans="1:16" ht="42.7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</row>
    <row r="2" spans="1:16">
      <c r="A2" t="s">
        <v>32</v>
      </c>
      <c r="B2" t="s">
        <v>30</v>
      </c>
      <c r="C2" s="2">
        <v>45742</v>
      </c>
      <c r="D2" s="2">
        <v>45748</v>
      </c>
    </row>
    <row r="3" spans="1:16">
      <c r="A3" t="s">
        <v>32</v>
      </c>
      <c r="B3" t="s">
        <v>31</v>
      </c>
      <c r="C3" s="2">
        <v>45742</v>
      </c>
      <c r="D3" s="2">
        <v>45748</v>
      </c>
    </row>
  </sheetData>
  <phoneticPr fontId="3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095E1-E773-4EAA-BC0B-233FC88363D6}">
  <sheetPr codeName="shtTest2"/>
  <dimension ref="A1:C7"/>
  <sheetViews>
    <sheetView workbookViewId="0">
      <selection activeCell="B22" sqref="B22"/>
    </sheetView>
  </sheetViews>
  <sheetFormatPr defaultRowHeight="12.75"/>
  <cols>
    <col min="1" max="1" width="59.796875" style="6" customWidth="1"/>
    <col min="2" max="2" width="35.06640625" style="6" bestFit="1" customWidth="1"/>
    <col min="3" max="3" width="23.1328125" style="6" bestFit="1" customWidth="1"/>
    <col min="4" max="16384" width="9.06640625" style="6"/>
  </cols>
  <sheetData>
    <row r="1" spans="1:3">
      <c r="A1" s="5" t="s">
        <v>1</v>
      </c>
      <c r="B1" s="5"/>
      <c r="C1" s="5"/>
    </row>
    <row r="2" spans="1:3">
      <c r="A2" s="6" t="s">
        <v>42</v>
      </c>
    </row>
    <row r="3" spans="1:3">
      <c r="A3" s="6" t="s">
        <v>43</v>
      </c>
    </row>
    <row r="4" spans="1:3">
      <c r="A4" s="6" t="s">
        <v>64</v>
      </c>
    </row>
    <row r="5" spans="1:3">
      <c r="A5" s="6" t="s">
        <v>44</v>
      </c>
    </row>
    <row r="6" spans="1:3">
      <c r="A6" s="6" t="s">
        <v>45</v>
      </c>
    </row>
    <row r="7" spans="1:3">
      <c r="A7" s="6" t="s">
        <v>45</v>
      </c>
    </row>
  </sheetData>
  <phoneticPr fontId="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2ACF3-24B5-4BBC-9ED2-4D318BE8F2E0}">
  <sheetPr codeName="shtDb"/>
  <dimension ref="A1:C7"/>
  <sheetViews>
    <sheetView workbookViewId="0">
      <selection activeCell="B14" sqref="B14"/>
    </sheetView>
  </sheetViews>
  <sheetFormatPr defaultRowHeight="14.25"/>
  <cols>
    <col min="1" max="1" width="37.53125" bestFit="1" customWidth="1"/>
    <col min="2" max="2" width="36.86328125" bestFit="1" customWidth="1"/>
    <col min="3" max="3" width="21.1328125" customWidth="1"/>
  </cols>
  <sheetData>
    <row r="1" spans="1:3">
      <c r="A1" t="s">
        <v>0</v>
      </c>
      <c r="B1" t="s">
        <v>37</v>
      </c>
      <c r="C1" t="s">
        <v>1</v>
      </c>
    </row>
    <row r="2" spans="1:3">
      <c r="A2" t="s">
        <v>24</v>
      </c>
      <c r="C2" t="s">
        <v>38</v>
      </c>
    </row>
    <row r="3" spans="1:3">
      <c r="A3" t="s">
        <v>39</v>
      </c>
      <c r="B3" t="s">
        <v>24</v>
      </c>
      <c r="C3" t="s">
        <v>34</v>
      </c>
    </row>
    <row r="4" spans="1:3">
      <c r="A4" t="s">
        <v>32</v>
      </c>
      <c r="B4" t="s">
        <v>39</v>
      </c>
      <c r="C4" t="s">
        <v>35</v>
      </c>
    </row>
    <row r="5" spans="1:3">
      <c r="A5" t="s">
        <v>40</v>
      </c>
      <c r="B5" t="s">
        <v>24</v>
      </c>
      <c r="C5" t="s">
        <v>36</v>
      </c>
    </row>
    <row r="6" spans="1:3">
      <c r="A6" t="s">
        <v>33</v>
      </c>
      <c r="B6" t="s">
        <v>24</v>
      </c>
      <c r="C6" t="s">
        <v>41</v>
      </c>
    </row>
    <row r="7" spans="1:3">
      <c r="A7" t="s">
        <v>26</v>
      </c>
      <c r="B7" t="s">
        <v>24</v>
      </c>
      <c r="C7" t="s">
        <v>41</v>
      </c>
    </row>
  </sheetData>
  <phoneticPr fontId="3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463DC-3D9C-4D79-BFE9-04334980EF23}">
  <sheetPr codeName="shtTasks"/>
  <dimension ref="A1:P4"/>
  <sheetViews>
    <sheetView tabSelected="1" workbookViewId="0">
      <selection activeCell="I24" sqref="I24"/>
    </sheetView>
  </sheetViews>
  <sheetFormatPr defaultRowHeight="14.25"/>
  <cols>
    <col min="1" max="1" width="4.6640625" bestFit="1" customWidth="1"/>
    <col min="2" max="2" width="16.86328125" bestFit="1" customWidth="1"/>
    <col min="3" max="3" width="8.265625" bestFit="1" customWidth="1"/>
    <col min="4" max="4" width="8.19921875" bestFit="1" customWidth="1"/>
    <col min="5" max="5" width="7.6640625" bestFit="1" customWidth="1"/>
    <col min="6" max="6" width="16.59765625" bestFit="1" customWidth="1"/>
    <col min="7" max="7" width="7.3984375" bestFit="1" customWidth="1"/>
    <col min="8" max="8" width="13.33203125" bestFit="1" customWidth="1"/>
    <col min="9" max="9" width="12.3984375" bestFit="1" customWidth="1"/>
    <col min="10" max="10" width="14.6640625" bestFit="1" customWidth="1"/>
    <col min="11" max="11" width="14.86328125" bestFit="1" customWidth="1"/>
    <col min="12" max="12" width="14" bestFit="1" customWidth="1"/>
    <col min="13" max="13" width="16.19921875" bestFit="1" customWidth="1"/>
    <col min="14" max="14" width="11.59765625" bestFit="1" customWidth="1"/>
    <col min="15" max="15" width="7.3984375" bestFit="1" customWidth="1"/>
    <col min="16" max="16" width="9.33203125" bestFit="1" customWidth="1"/>
  </cols>
  <sheetData>
    <row r="1" spans="1:16">
      <c r="A1" t="s">
        <v>46</v>
      </c>
      <c r="B1" t="s">
        <v>47</v>
      </c>
      <c r="C1" t="s">
        <v>50</v>
      </c>
      <c r="D1" t="s">
        <v>51</v>
      </c>
      <c r="E1" t="s">
        <v>5</v>
      </c>
      <c r="F1" t="s">
        <v>56</v>
      </c>
      <c r="G1" t="s">
        <v>52</v>
      </c>
      <c r="H1" t="s">
        <v>58</v>
      </c>
      <c r="I1" t="s">
        <v>59</v>
      </c>
      <c r="J1" t="s">
        <v>57</v>
      </c>
      <c r="K1" t="s">
        <v>53</v>
      </c>
      <c r="L1" t="s">
        <v>54</v>
      </c>
      <c r="M1" t="s">
        <v>55</v>
      </c>
      <c r="N1" t="s">
        <v>60</v>
      </c>
      <c r="O1" t="s">
        <v>49</v>
      </c>
      <c r="P1" t="s">
        <v>48</v>
      </c>
    </row>
    <row r="2" spans="1:16">
      <c r="A2" s="1">
        <v>1</v>
      </c>
      <c r="B2" s="1" t="s">
        <v>65</v>
      </c>
      <c r="C2" s="7">
        <v>45748</v>
      </c>
      <c r="D2" s="7">
        <v>45748</v>
      </c>
      <c r="E2" s="1">
        <v>1</v>
      </c>
      <c r="F2" s="1">
        <v>4</v>
      </c>
      <c r="G2" s="1">
        <v>100</v>
      </c>
      <c r="H2" s="7">
        <v>45748</v>
      </c>
      <c r="I2" s="7">
        <v>45748</v>
      </c>
      <c r="J2" s="1">
        <v>4</v>
      </c>
      <c r="K2" s="7">
        <v>45748</v>
      </c>
      <c r="L2" s="7">
        <v>45748</v>
      </c>
      <c r="M2" s="1">
        <v>4</v>
      </c>
      <c r="N2" s="1"/>
      <c r="O2" s="1"/>
      <c r="P2" s="1" t="s">
        <v>66</v>
      </c>
    </row>
    <row r="3" spans="1:16" ht="28.5">
      <c r="A3" s="1">
        <v>1.1000000000000001</v>
      </c>
      <c r="B3" s="1" t="s">
        <v>67</v>
      </c>
      <c r="C3" s="7">
        <v>45749</v>
      </c>
      <c r="D3" s="7">
        <v>45752</v>
      </c>
      <c r="E3" s="1">
        <v>4</v>
      </c>
      <c r="F3" s="1">
        <v>16</v>
      </c>
      <c r="G3" s="1">
        <v>50</v>
      </c>
      <c r="H3" s="7">
        <v>45749</v>
      </c>
      <c r="I3" s="1"/>
      <c r="J3" s="1">
        <v>8</v>
      </c>
      <c r="K3" s="7">
        <v>45749</v>
      </c>
      <c r="L3" s="7">
        <v>45752</v>
      </c>
      <c r="M3" s="1">
        <v>16</v>
      </c>
      <c r="N3" s="1">
        <v>1</v>
      </c>
      <c r="O3" s="1">
        <v>1</v>
      </c>
      <c r="P3" s="1" t="s">
        <v>68</v>
      </c>
    </row>
    <row r="4" spans="1:16" ht="42.75">
      <c r="A4" s="1" t="s">
        <v>69</v>
      </c>
      <c r="B4" s="1" t="s">
        <v>70</v>
      </c>
      <c r="C4" s="7">
        <v>45749</v>
      </c>
      <c r="D4" s="7">
        <v>45750</v>
      </c>
      <c r="E4" s="1">
        <v>2</v>
      </c>
      <c r="F4" s="1">
        <v>8</v>
      </c>
      <c r="G4" s="1">
        <v>100</v>
      </c>
      <c r="H4" s="7">
        <v>45749</v>
      </c>
      <c r="I4" s="7">
        <v>45750</v>
      </c>
      <c r="J4" s="1">
        <v>8</v>
      </c>
      <c r="K4" s="7">
        <v>45749</v>
      </c>
      <c r="L4" s="7">
        <v>45750</v>
      </c>
      <c r="M4" s="1">
        <v>8</v>
      </c>
      <c r="N4" s="1"/>
      <c r="O4" s="1">
        <v>1.1000000000000001</v>
      </c>
      <c r="P4" s="1" t="s">
        <v>71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C9DB9-65F4-4781-91F6-524632C26E3F}">
  <sheetPr codeName="Sheet2"/>
  <dimension ref="A1:B1"/>
  <sheetViews>
    <sheetView workbookViewId="0">
      <selection activeCell="B2" sqref="B2"/>
    </sheetView>
  </sheetViews>
  <sheetFormatPr defaultRowHeight="14.25"/>
  <sheetData>
    <row r="1" spans="1:2">
      <c r="A1" t="s">
        <v>46</v>
      </c>
      <c r="B1" t="s">
        <v>47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E077E-4A9E-441D-81F1-9D23E832F31B}">
  <sheetPr codeName="Sheet3"/>
  <dimension ref="A1:A3"/>
  <sheetViews>
    <sheetView workbookViewId="0">
      <selection activeCell="A2" sqref="A2"/>
    </sheetView>
  </sheetViews>
  <sheetFormatPr defaultRowHeight="14.25"/>
  <sheetData>
    <row r="1" spans="1:1">
      <c r="A1" t="s">
        <v>61</v>
      </c>
    </row>
    <row r="2" spans="1:1">
      <c r="A2" t="s">
        <v>63</v>
      </c>
    </row>
    <row r="3" spans="1:1">
      <c r="A3" t="s">
        <v>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WBS data</vt:lpstr>
      <vt:lpstr>Resource Allocation</vt:lpstr>
      <vt:lpstr>Settings</vt:lpstr>
      <vt:lpstr>test</vt:lpstr>
      <vt:lpstr>test2</vt:lpstr>
      <vt:lpstr>Database</vt:lpstr>
      <vt:lpstr>Tasks</vt:lpstr>
      <vt:lpstr>Resources</vt:lpstr>
      <vt:lpstr>(note)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nabeyasu</dc:creator>
  <cp:lastModifiedBy>Yasuhiro WATANABE</cp:lastModifiedBy>
  <dcterms:created xsi:type="dcterms:W3CDTF">2015-06-05T18:17:20Z</dcterms:created>
  <dcterms:modified xsi:type="dcterms:W3CDTF">2025-04-01T13:20:17Z</dcterms:modified>
</cp:coreProperties>
</file>