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wbMain"/>
  <mc:AlternateContent xmlns:mc="http://schemas.openxmlformats.org/markup-compatibility/2006">
    <mc:Choice Requires="x15">
      <x15ac:absPath xmlns:x15ac="http://schemas.microsoft.com/office/spreadsheetml/2010/11/ac" url="Z:\github.com\yasuhiro112358\WBS\"/>
    </mc:Choice>
  </mc:AlternateContent>
  <xr:revisionPtr revIDLastSave="0" documentId="13_ncr:1_{7B8C2966-8E4C-4F8A-9624-5BF75777140A}" xr6:coauthVersionLast="47" xr6:coauthVersionMax="47" xr10:uidLastSave="{00000000-0000-0000-0000-000000000000}"/>
  <bookViews>
    <workbookView xWindow="-98" yWindow="-98" windowWidth="28996" windowHeight="15675" firstSheet="1" activeTab="6" xr2:uid="{00000000-000D-0000-FFFF-FFFF00000000}"/>
  </bookViews>
  <sheets>
    <sheet name="WBS data" sheetId="1" r:id="rId1"/>
    <sheet name="Resource Allocation" sheetId="2" r:id="rId2"/>
    <sheet name="Settings" sheetId="3" r:id="rId3"/>
    <sheet name="test" sheetId="4" r:id="rId4"/>
    <sheet name="test2" sheetId="5" r:id="rId5"/>
    <sheet name="Database" sheetId="6" r:id="rId6"/>
    <sheet name="WBS View" sheetId="10" r:id="rId7"/>
    <sheet name="Tasks" sheetId="7" r:id="rId8"/>
    <sheet name="Resources" sheetId="8" r:id="rId9"/>
    <sheet name="(note)" sheetId="9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1" l="1"/>
  <c r="G9" i="1"/>
  <c r="H8" i="1"/>
  <c r="G8" i="1"/>
  <c r="H7" i="1"/>
  <c r="G7" i="1"/>
  <c r="H6" i="1"/>
  <c r="G6" i="1"/>
  <c r="H5" i="1"/>
  <c r="G5" i="1"/>
  <c r="H4" i="1"/>
  <c r="G4" i="1"/>
  <c r="M3" i="1"/>
</calcChain>
</file>

<file path=xl/sharedStrings.xml><?xml version="1.0" encoding="utf-8"?>
<sst xmlns="http://schemas.openxmlformats.org/spreadsheetml/2006/main" count="221" uniqueCount="110">
  <si>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</si>
  <si>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</si>
  <si>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</si>
  <si>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</si>
  <si>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</si>
  <si>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</si>
  <si>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</si>
  <si>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</si>
  <si>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</si>
  <si>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</si>
  <si>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</si>
  <si>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</si>
  <si>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</si>
  <si>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</si>
  <si>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</si>
  <si>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</si>
  <si>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</si>
  <si>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</si>
  <si>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</si>
  <si>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</si>
  <si>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</si>
  <si>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</si>
  <si>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</si>
  <si>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</si>
  <si>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</si>
  <si>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</si>
  <si>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</si>
  <si>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</si>
  <si>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</si>
  <si>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</si>
  <si>
    <t>Sample Task 1</t>
  </si>
  <si>
    <t>Sample Task 1 updated</t>
  </si>
  <si>
    <t>b5a32917-e4c6-44ea-a618-bed08e6a8875</t>
  </si>
  <si>
    <t>08a8d13a-752b-4e81-b677-35192e174dc4</t>
  </si>
  <si>
    <t>Phase A</t>
  </si>
  <si>
    <t>Task A-1</t>
  </si>
  <si>
    <t>Phase B</t>
  </si>
  <si>
    <t>Parent ID</t>
  </si>
  <si>
    <t>Test Project</t>
  </si>
  <si>
    <t>d9fe3bf3-81fa-4091-8c40-464ff6422a66</t>
  </si>
  <si>
    <t>6403f065-7274-4a82-ba86-1c7c9d031152</t>
  </si>
  <si>
    <t>New Task from VBA</t>
  </si>
  <si>
    <t>* Test Project</t>
  </si>
  <si>
    <t xml:space="preserve">        * Phase A</t>
  </si>
  <si>
    <t xml:space="preserve">        * Phase B</t>
  </si>
  <si>
    <t xml:space="preserve">        * New Task from VBA</t>
  </si>
  <si>
    <t>Id</t>
  </si>
  <si>
    <t>Name</t>
  </si>
  <si>
    <t>ResourceId</t>
  </si>
  <si>
    <t>ParentId</t>
  </si>
  <si>
    <t>StartDate</t>
  </si>
  <si>
    <t>EndDate</t>
  </si>
  <si>
    <t>Progress</t>
  </si>
  <si>
    <t>BaselineStartDate</t>
  </si>
  <si>
    <t>BaselineEndDate</t>
  </si>
  <si>
    <t>BaselineWorkHours</t>
  </si>
  <si>
    <t>AssignedWorkHours</t>
  </si>
  <si>
    <t>ActualWorkHours</t>
  </si>
  <si>
    <t>ActualStartDate</t>
  </si>
  <si>
    <t>ActualEndDate</t>
  </si>
  <si>
    <t>PredecessorId</t>
  </si>
  <si>
    <t>RemainingWorkHours =  AssignedWorkHours - ActualWorkHours</t>
  </si>
  <si>
    <t>Progress = ActualWorkHours / AssignedWorkHours OR Actual Progress PM decides</t>
  </si>
  <si>
    <t>[x] Duration = EndDate - StartDate + 1   =&gt; Needs to caluculate calendar dates</t>
  </si>
  <si>
    <t xml:space="preserve">                * Task A-1</t>
  </si>
  <si>
    <t>R001</t>
  </si>
  <si>
    <t>要件定義</t>
  </si>
  <si>
    <t>R002</t>
  </si>
  <si>
    <t>1.1.1</t>
  </si>
  <si>
    <t>ヒアリング</t>
  </si>
  <si>
    <t>R003</t>
  </si>
  <si>
    <t>仕様書作成</t>
  </si>
  <si>
    <t>R004</t>
  </si>
  <si>
    <t>佐藤一郎</t>
  </si>
  <si>
    <t>鈴木花子</t>
  </si>
  <si>
    <t>設計レビュー</t>
  </si>
  <si>
    <t>Yasuhiro WATANABE</t>
  </si>
  <si>
    <t>Progress [%]</t>
  </si>
  <si>
    <t>Resource ID</t>
  </si>
  <si>
    <t>WbsCode</t>
  </si>
  <si>
    <t>T001</t>
  </si>
  <si>
    <t>T002</t>
  </si>
  <si>
    <t>T003</t>
  </si>
  <si>
    <t>T004</t>
  </si>
  <si>
    <t>T005</t>
  </si>
  <si>
    <t>T006</t>
  </si>
  <si>
    <t>設計レビュー詳細1</t>
  </si>
  <si>
    <t>T007</t>
  </si>
  <si>
    <t>設計レビュー詳細2</t>
  </si>
  <si>
    <t>John Doe</t>
  </si>
  <si>
    <t>WBS Code</t>
  </si>
  <si>
    <t>Baseline
Start Date</t>
  </si>
  <si>
    <t>Baseline
End Date</t>
  </si>
  <si>
    <t>Baseline
Work Hours</t>
  </si>
  <si>
    <t>Assigned
Work Hours</t>
  </si>
  <si>
    <t>Actual
Work Hours</t>
  </si>
  <si>
    <t>Remaining
Work Hours</t>
  </si>
  <si>
    <t>Actual
Start Date</t>
  </si>
  <si>
    <t>Actual
End Date</t>
  </si>
  <si>
    <t>Predecessor
WBS Code</t>
  </si>
  <si>
    <t>Predecessor
Task Name</t>
  </si>
  <si>
    <t>Predecessor
Task ID</t>
  </si>
  <si>
    <t>New task</t>
  </si>
  <si>
    <t>プロジェクト開始_updated</t>
  </si>
  <si>
    <t xml:space="preserve">        要件定義</t>
  </si>
  <si>
    <t xml:space="preserve">                ヒアリング</t>
  </si>
  <si>
    <t xml:space="preserve">        仕様書作成</t>
  </si>
  <si>
    <t xml:space="preserve">        New task</t>
  </si>
  <si>
    <t xml:space="preserve">        設計レビュー詳細1</t>
  </si>
  <si>
    <t xml:space="preserve">        設計レビュー詳細2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</si>
</sst>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"/>
  </numFmts>
  <fonts count="6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009999"/>
        <bgColor indexed="64"/>
      </patternFill>
    </fill>
  </fills>
  <borders count="3">
    <border>
      <left/>
      <right/>
      <top/>
      <bottom/>
      <diagonal/>
    </border>
    <border>
      <left style="thin">
        <color rgb="FF404040"/>
      </left>
      <right style="thin">
        <color rgb="FF404040"/>
      </right>
      <top style="thin">
        <color rgb="FF404040"/>
      </top>
      <bottom style="thin">
        <color rgb="FF404040"/>
      </bottom>
      <diagonal/>
    </border>
    <border>
      <left style="thin">
        <color rgb="FF404040"/>
      </left>
      <right style="thin">
        <color rgb="FF404040"/>
      </right>
      <top style="thin">
        <color rgb="FF404040"/>
      </top>
      <bottom style="double">
        <color rgb="FF40404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/>
    <xf numFmtId="14" fontId="0" fillId="0" borderId="0" xfId="0" applyNumberFormat="1" applyAlignment="1">
      <alignment vertical="center" wrapText="1"/>
    </xf>
    <xf numFmtId="19" fontId="0" fillId="0" borderId="0" xfId="0" applyNumberFormat="1"/>
    <xf numFmtId="0" fontId="0" fillId="0" borderId="0" xfId="0" applyAlignment="1">
      <alignment horizontal="left"/>
    </xf>
    <xf numFmtId="19" fontId="0" fillId="0" borderId="0" xfId="0" applyNumberFormat="1" applyAlignment="1">
      <alignment vertical="center" wrapText="1"/>
    </xf>
    <xf numFmtId="0" fontId="4" fillId="3" borderId="2" xfId="0" applyFont="1" applyFill="1" applyBorder="1" applyAlignment="1">
      <alignment horizontal="center" textRotation="90"/>
    </xf>
    <xf numFmtId="0" fontId="4" fillId="3" borderId="2" xfId="0" applyFont="1" applyFill="1" applyBorder="1" applyAlignment="1">
      <alignment horizontal="center" textRotation="90" wrapText="1"/>
    </xf>
    <xf numFmtId="16" fontId="0" fillId="0" borderId="0" xfId="0" applyNumberFormat="1" applyAlignment="1">
      <alignment vertical="center" wrapText="1"/>
    </xf>
    <xf numFmtId="0" fontId="0" fillId="0" borderId="1" xfId="0" applyBorder="1" applyAlignment="1">
      <alignment horizontal="left"/>
    </xf>
    <xf numFmtId="0" fontId="0" fillId="0" borderId="1" xfId="0" applyBorder="1"/>
    <xf numFmtId="16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71438</xdr:colOff>
          <xdr:row>1</xdr:row>
          <xdr:rowOff>52388</xdr:rowOff>
        </xdr:from>
        <xdr:to>
          <xdr:col>1</xdr:col>
          <xdr:colOff>981075</xdr:colOff>
          <xdr:row>1</xdr:row>
          <xdr:rowOff>390525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71438</xdr:colOff>
          <xdr:row>1</xdr:row>
          <xdr:rowOff>509588</xdr:rowOff>
        </xdr:from>
        <xdr:to>
          <xdr:col>1</xdr:col>
          <xdr:colOff>981075</xdr:colOff>
          <xdr:row>1</xdr:row>
          <xdr:rowOff>814388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workbookViewId="0">
      <selection activeCell="J16" sqref="J16"/>
    </sheetView>
  </sheetViews>
  <sheetFormatPr defaultRowHeight="14.25"/>
  <cols>
    <col min="1" max="1" width="41.33203125" customWidth="1"/>
    <col min="2" max="2" width="18.46484375" bestFit="1" customWidth="1"/>
    <col min="3" max="3" width="10.33203125" customWidth="1"/>
    <col min="4" max="4" width="12.46484375" customWidth="1"/>
    <col min="5" max="5" width="8.53125" bestFit="1" customWidth="1"/>
    <col min="6" max="6" width="8.6640625" bestFit="1" customWidth="1"/>
    <col min="7" max="8" width="10.46484375" bestFit="1" customWidth="1"/>
    <col min="9" max="9" width="8.53125" bestFit="1" customWidth="1"/>
    <col min="10" max="10" width="11.46484375" customWidth="1"/>
    <col min="11" max="11" width="13.53125" customWidth="1"/>
    <col min="12" max="12" width="14.86328125" customWidth="1"/>
    <col min="13" max="13" width="12.1328125" customWidth="1"/>
    <col min="14" max="14" width="10.46484375" bestFit="1" customWidth="1"/>
    <col min="15" max="15" width="8.86328125" bestFit="1" customWidth="1"/>
    <col min="16" max="16" width="8" bestFit="1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45755</v>
      </c>
    </row>
    <row r="4" spans="1:16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45755</v>
      </c>
      <c r="H4" s="2">
        <f ca="1">TODAY()</f>
        <v>45755</v>
      </c>
      <c r="I4">
        <v>1</v>
      </c>
      <c r="J4">
        <v>5</v>
      </c>
      <c r="K4">
        <v>3</v>
      </c>
      <c r="L4">
        <v>2</v>
      </c>
    </row>
    <row r="5" spans="1:16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45755</v>
      </c>
      <c r="H5" s="2">
        <f t="shared" ca="1" si="0"/>
        <v>45755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45755</v>
      </c>
      <c r="H6" s="2">
        <f t="shared" ca="1" si="0"/>
        <v>45755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45755</v>
      </c>
      <c r="H7" s="2">
        <f t="shared" ca="1" si="0"/>
        <v>45755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>
      <c r="A8" t="s">
        <v>27</v>
      </c>
      <c r="C8" s="2">
        <v>45739</v>
      </c>
      <c r="D8" s="2">
        <v>45739</v>
      </c>
      <c r="E8">
        <v>0</v>
      </c>
      <c r="G8" s="2">
        <f t="shared" ca="1" si="0"/>
        <v>45755</v>
      </c>
      <c r="H8" s="2">
        <f t="shared" ca="1" si="0"/>
        <v>45755</v>
      </c>
      <c r="I8">
        <v>8</v>
      </c>
      <c r="J8">
        <v>40</v>
      </c>
      <c r="L8">
        <v>40</v>
      </c>
    </row>
    <row r="9" spans="1:16">
      <c r="A9" t="s">
        <v>28</v>
      </c>
      <c r="E9">
        <v>86.666666666666671</v>
      </c>
      <c r="G9" s="2">
        <f t="shared" ca="1" si="0"/>
        <v>45755</v>
      </c>
      <c r="H9" s="2">
        <f t="shared" ca="1" si="0"/>
        <v>45755</v>
      </c>
      <c r="I9">
        <v>9</v>
      </c>
      <c r="J9">
        <v>15</v>
      </c>
      <c r="K9">
        <v>13</v>
      </c>
      <c r="L9">
        <v>2</v>
      </c>
    </row>
    <row r="10" spans="1:16">
      <c r="A10" t="s">
        <v>29</v>
      </c>
      <c r="I10">
        <v>33</v>
      </c>
    </row>
    <row r="11" spans="1:16">
      <c r="A11" t="s">
        <v>24</v>
      </c>
    </row>
  </sheetData>
  <phoneticPr fontId="2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H17" sqref="H17"/>
    </sheetView>
  </sheetViews>
  <sheetFormatPr defaultRowHeight="14.25"/>
  <sheetData>
    <row r="1" spans="1:2" ht="42.75">
      <c r="A1" s="1" t="s">
        <v>15</v>
      </c>
      <c r="B1" s="1" t="s">
        <v>16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>
      <selection activeCell="E14" sqref="E14"/>
    </sheetView>
  </sheetViews>
  <sheetFormatPr defaultRowHeight="14.25"/>
  <cols>
    <col min="5" max="5" width="23.6640625" customWidth="1"/>
  </cols>
  <sheetData/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B936-D87C-4126-95D7-AC34F16526BE}">
  <sheetPr codeName="shtTest"/>
  <dimension ref="A1:P3"/>
  <sheetViews>
    <sheetView workbookViewId="0">
      <selection sqref="A1:XFD1"/>
    </sheetView>
  </sheetViews>
  <sheetFormatPr defaultRowHeight="14.25"/>
  <cols>
    <col min="1" max="1" width="41.33203125" customWidth="1"/>
    <col min="2" max="2" width="26.33203125" customWidth="1"/>
    <col min="3" max="3" width="15.53125" customWidth="1"/>
    <col min="4" max="4" width="15.6640625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32</v>
      </c>
      <c r="B2" t="s">
        <v>30</v>
      </c>
      <c r="C2" s="2">
        <v>45742</v>
      </c>
      <c r="D2" s="2">
        <v>45748</v>
      </c>
    </row>
    <row r="3" spans="1:16">
      <c r="A3" t="s">
        <v>32</v>
      </c>
      <c r="B3" t="s">
        <v>31</v>
      </c>
      <c r="C3" s="2">
        <v>45742</v>
      </c>
      <c r="D3" s="2">
        <v>45748</v>
      </c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95E1-E773-4EAA-BC0B-233FC88363D6}">
  <sheetPr codeName="shtTest2"/>
  <dimension ref="A1:C7"/>
  <sheetViews>
    <sheetView workbookViewId="0">
      <selection activeCell="B22" sqref="B22"/>
    </sheetView>
  </sheetViews>
  <sheetFormatPr defaultRowHeight="12.75"/>
  <cols>
    <col min="1" max="1" width="59.796875" style="6" customWidth="1"/>
    <col min="2" max="2" width="35.06640625" style="6" bestFit="1" customWidth="1"/>
    <col min="3" max="3" width="23.1328125" style="6" bestFit="1" customWidth="1"/>
    <col min="4" max="16384" width="9.06640625" style="6"/>
  </cols>
  <sheetData>
    <row r="1" spans="1:3">
      <c r="A1" s="5" t="s">
        <v>1</v>
      </c>
      <c r="B1" s="5"/>
      <c r="C1" s="5"/>
    </row>
    <row r="2" spans="1:3">
      <c r="A2" s="6" t="s">
        <v>42</v>
      </c>
    </row>
    <row r="3" spans="1:3">
      <c r="A3" s="6" t="s">
        <v>43</v>
      </c>
    </row>
    <row r="4" spans="1:3">
      <c r="A4" s="6" t="s">
        <v>64</v>
      </c>
    </row>
    <row r="5" spans="1:3">
      <c r="A5" s="6" t="s">
        <v>44</v>
      </c>
    </row>
    <row r="6" spans="1:3">
      <c r="A6" s="6" t="s">
        <v>45</v>
      </c>
    </row>
    <row r="7" spans="1:3">
      <c r="A7" s="6" t="s">
        <v>45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2ACF3-24B5-4BBC-9ED2-4D318BE8F2E0}">
  <sheetPr codeName="shtDb"/>
  <dimension ref="A1:C7"/>
  <sheetViews>
    <sheetView workbookViewId="0">
      <selection activeCell="A6" sqref="A6"/>
    </sheetView>
  </sheetViews>
  <sheetFormatPr defaultRowHeight="14.25"/>
  <cols>
    <col min="1" max="1" width="37.53125" bestFit="1" customWidth="1"/>
    <col min="2" max="2" width="36.86328125" bestFit="1" customWidth="1"/>
    <col min="3" max="3" width="21.1328125" customWidth="1"/>
  </cols>
  <sheetData>
    <row r="1" spans="1:3">
      <c r="A1" t="s">
        <v>0</v>
      </c>
      <c r="B1" t="s">
        <v>37</v>
      </c>
      <c r="C1" t="s">
        <v>1</v>
      </c>
    </row>
    <row r="2" spans="1:3">
      <c r="A2" t="s">
        <v>24</v>
      </c>
      <c r="C2" t="s">
        <v>38</v>
      </c>
    </row>
    <row r="3" spans="1:3">
      <c r="A3" t="s">
        <v>39</v>
      </c>
      <c r="B3" t="s">
        <v>24</v>
      </c>
      <c r="C3" t="s">
        <v>34</v>
      </c>
    </row>
    <row r="4" spans="1:3">
      <c r="A4" t="s">
        <v>32</v>
      </c>
      <c r="B4" t="s">
        <v>39</v>
      </c>
      <c r="C4" t="s">
        <v>35</v>
      </c>
    </row>
    <row r="5" spans="1:3">
      <c r="A5" t="s">
        <v>40</v>
      </c>
      <c r="B5" t="s">
        <v>24</v>
      </c>
      <c r="C5" t="s">
        <v>36</v>
      </c>
    </row>
    <row r="6" spans="1:3">
      <c r="A6" t="s">
        <v>33</v>
      </c>
      <c r="B6" t="s">
        <v>24</v>
      </c>
      <c r="C6" t="s">
        <v>41</v>
      </c>
    </row>
    <row r="7" spans="1:3">
      <c r="A7" t="s">
        <v>26</v>
      </c>
      <c r="B7" t="s">
        <v>24</v>
      </c>
      <c r="C7" t="s">
        <v>41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C8925-A5B5-4FD9-B57A-FDABB58D42AC}">
  <sheetPr codeName="shtWbsView"/>
  <dimension ref="A1:T14"/>
  <sheetViews>
    <sheetView tabSelected="1" zoomScaleNormal="100" workbookViewId="0">
      <pane ySplit="4" topLeftCell="A5" activePane="bottomLeft" state="frozen"/>
      <selection pane="bottomLeft" activeCell="A6" sqref="A6"/>
    </sheetView>
  </sheetViews>
  <sheetFormatPr defaultRowHeight="14.25"/>
  <cols>
    <col min="1" max="1" width="4.6640625" style="9" bestFit="1" customWidth="1"/>
    <col min="2" max="2" width="24.3984375" bestFit="1" customWidth="1"/>
    <col min="3" max="4" width="5.46484375" bestFit="1" customWidth="1"/>
    <col min="5" max="5" width="3.73046875" bestFit="1" customWidth="1"/>
    <col min="6" max="6" width="3.19921875" bestFit="1" customWidth="1"/>
    <col min="7" max="14" width="5.73046875" bestFit="1" customWidth="1"/>
    <col min="15" max="15" width="5.73046875" style="9" bestFit="1" customWidth="1"/>
    <col min="16" max="16" width="24.3984375" bestFit="1" customWidth="1"/>
    <col min="17" max="17" width="17.3984375" bestFit="1" customWidth="1"/>
    <col min="18" max="18" width="35.06640625" bestFit="1" customWidth="1"/>
    <col min="19" max="19" width="5.73046875" bestFit="1" customWidth="1"/>
    <col min="20" max="20" width="4.796875" bestFit="1" customWidth="1"/>
    <col min="21" max="21" width="18.9296875" bestFit="1" customWidth="1"/>
    <col min="22" max="22" width="10.3984375" bestFit="1" customWidth="1"/>
  </cols>
  <sheetData>
    <row r="1" spans="1:20" ht="20.75" customHeight="1">
      <c r="A1"/>
      <c r="O1"/>
    </row>
    <row r="2" spans="1:20" ht="73.900000000000006" customHeight="1">
      <c r="A2"/>
      <c r="D2" s="2"/>
      <c r="E2" s="2"/>
      <c r="H2" s="2"/>
      <c r="I2" s="2"/>
      <c r="N2" s="2"/>
      <c r="O2" s="2"/>
      <c r="P2" s="2"/>
    </row>
    <row r="3" spans="1:20">
      <c r="A3"/>
      <c r="O3"/>
    </row>
    <row r="4" spans="1:20" ht="76.5" thickBot="1">
      <c r="A4" s="11" t="s">
        <v>90</v>
      </c>
      <c r="B4" s="11" t="s">
        <v>1</v>
      </c>
      <c r="C4" s="11" t="s">
        <v>2</v>
      </c>
      <c r="D4" s="11" t="s">
        <v>3</v>
      </c>
      <c r="E4" s="12" t="s">
        <v>77</v>
      </c>
      <c r="F4" s="11" t="s">
        <v>5</v>
      </c>
      <c r="G4" s="12" t="s">
        <v>91</v>
      </c>
      <c r="H4" s="12" t="s">
        <v>92</v>
      </c>
      <c r="I4" s="12" t="s">
        <v>93</v>
      </c>
      <c r="J4" s="12" t="s">
        <v>94</v>
      </c>
      <c r="K4" s="12" t="s">
        <v>95</v>
      </c>
      <c r="L4" s="12" t="s">
        <v>96</v>
      </c>
      <c r="M4" s="12" t="s">
        <v>97</v>
      </c>
      <c r="N4" s="12" t="s">
        <v>98</v>
      </c>
      <c r="O4" s="12" t="s">
        <v>99</v>
      </c>
      <c r="P4" s="12" t="s">
        <v>100</v>
      </c>
      <c r="Q4" s="11" t="s">
        <v>15</v>
      </c>
      <c r="R4" s="11" t="s">
        <v>0</v>
      </c>
      <c r="S4" s="12" t="s">
        <v>101</v>
      </c>
      <c r="T4" s="11" t="s">
        <v>78</v>
      </c>
    </row>
    <row r="5" spans="1:20" ht="14.65" thickTop="1">
      <c r="A5" s="14">
        <v>1</v>
      </c>
      <c r="B5" s="15" t="s">
        <v>103</v>
      </c>
      <c r="C5" s="16">
        <v>45748</v>
      </c>
      <c r="D5" s="16">
        <v>45765</v>
      </c>
      <c r="E5" s="15">
        <v>99</v>
      </c>
      <c r="F5" s="15">
        <v>18</v>
      </c>
      <c r="G5" s="16">
        <v>45748</v>
      </c>
      <c r="H5" s="16">
        <v>45748</v>
      </c>
      <c r="I5" s="15">
        <v>4</v>
      </c>
      <c r="J5" s="15">
        <v>4</v>
      </c>
      <c r="K5" s="15">
        <v>3</v>
      </c>
      <c r="L5" s="15">
        <v>1</v>
      </c>
      <c r="M5" s="16">
        <v>45748</v>
      </c>
      <c r="N5" s="16">
        <v>45765</v>
      </c>
      <c r="O5" s="14"/>
      <c r="P5" s="15"/>
      <c r="Q5" s="15" t="s">
        <v>73</v>
      </c>
      <c r="R5" s="15" t="s">
        <v>80</v>
      </c>
      <c r="S5" s="15"/>
      <c r="T5" s="15" t="s">
        <v>65</v>
      </c>
    </row>
    <row r="6" spans="1:20">
      <c r="A6" s="14">
        <v>1.1000000000000001</v>
      </c>
      <c r="B6" s="15" t="s">
        <v>104</v>
      </c>
      <c r="C6" s="16">
        <v>45749</v>
      </c>
      <c r="D6" s="16">
        <v>45752</v>
      </c>
      <c r="E6" s="15">
        <v>50</v>
      </c>
      <c r="F6" s="15">
        <v>4</v>
      </c>
      <c r="G6" s="16">
        <v>45749</v>
      </c>
      <c r="H6" s="16">
        <v>45752</v>
      </c>
      <c r="I6" s="15">
        <v>16</v>
      </c>
      <c r="J6" s="15">
        <v>16</v>
      </c>
      <c r="K6" s="15">
        <v>8</v>
      </c>
      <c r="L6" s="15">
        <v>8</v>
      </c>
      <c r="M6" s="16">
        <v>45749</v>
      </c>
      <c r="N6" s="16"/>
      <c r="O6" s="14">
        <v>1</v>
      </c>
      <c r="P6" s="15" t="s">
        <v>103</v>
      </c>
      <c r="Q6" s="15" t="s">
        <v>74</v>
      </c>
      <c r="R6" s="15" t="s">
        <v>81</v>
      </c>
      <c r="S6" s="15" t="s">
        <v>80</v>
      </c>
      <c r="T6" s="15" t="s">
        <v>67</v>
      </c>
    </row>
    <row r="7" spans="1:20">
      <c r="A7" s="14" t="s">
        <v>68</v>
      </c>
      <c r="B7" s="15" t="s">
        <v>105</v>
      </c>
      <c r="C7" s="16">
        <v>45749</v>
      </c>
      <c r="D7" s="16">
        <v>45750</v>
      </c>
      <c r="E7" s="15">
        <v>100</v>
      </c>
      <c r="F7" s="15">
        <v>2</v>
      </c>
      <c r="G7" s="16">
        <v>45749</v>
      </c>
      <c r="H7" s="16">
        <v>45750</v>
      </c>
      <c r="I7" s="15">
        <v>8</v>
      </c>
      <c r="J7" s="15">
        <v>8</v>
      </c>
      <c r="K7" s="15">
        <v>8</v>
      </c>
      <c r="L7" s="15">
        <v>0</v>
      </c>
      <c r="M7" s="16">
        <v>45749</v>
      </c>
      <c r="N7" s="16">
        <v>45750</v>
      </c>
      <c r="O7" s="14"/>
      <c r="P7" s="15"/>
      <c r="Q7" s="15" t="s">
        <v>76</v>
      </c>
      <c r="R7" s="15" t="s">
        <v>82</v>
      </c>
      <c r="S7" s="15"/>
      <c r="T7" s="15" t="s">
        <v>70</v>
      </c>
    </row>
    <row r="8" spans="1:20">
      <c r="A8" s="14">
        <v>2</v>
      </c>
      <c r="B8" s="15" t="s">
        <v>75</v>
      </c>
      <c r="C8" s="16">
        <v>45755</v>
      </c>
      <c r="D8" s="16">
        <v>45759</v>
      </c>
      <c r="E8" s="15">
        <v>75</v>
      </c>
      <c r="F8" s="15">
        <v>5</v>
      </c>
      <c r="G8" s="16">
        <v>45757</v>
      </c>
      <c r="H8" s="16">
        <v>45758</v>
      </c>
      <c r="I8" s="15">
        <v>8</v>
      </c>
      <c r="J8" s="15">
        <v>8</v>
      </c>
      <c r="K8" s="15">
        <v>6</v>
      </c>
      <c r="L8" s="15">
        <v>2</v>
      </c>
      <c r="M8" s="16">
        <v>45755</v>
      </c>
      <c r="N8" s="16">
        <v>45759</v>
      </c>
      <c r="O8" s="14"/>
      <c r="P8" s="15"/>
      <c r="Q8" s="15" t="s">
        <v>76</v>
      </c>
      <c r="R8" s="15" t="s">
        <v>84</v>
      </c>
      <c r="S8" s="15"/>
      <c r="T8" s="15" t="s">
        <v>70</v>
      </c>
    </row>
    <row r="9" spans="1:20">
      <c r="A9" s="14">
        <v>2.1</v>
      </c>
      <c r="B9" s="15" t="s">
        <v>106</v>
      </c>
      <c r="C9" s="16"/>
      <c r="D9" s="16"/>
      <c r="E9" s="15">
        <v>0</v>
      </c>
      <c r="F9" s="15">
        <v>0</v>
      </c>
      <c r="G9" s="16"/>
      <c r="H9" s="16"/>
      <c r="I9" s="15">
        <v>8</v>
      </c>
      <c r="J9" s="15">
        <v>8</v>
      </c>
      <c r="K9" s="15">
        <v>0</v>
      </c>
      <c r="L9" s="15">
        <v>8</v>
      </c>
      <c r="M9" s="16"/>
      <c r="N9" s="16"/>
      <c r="O9" s="14" t="s">
        <v>68</v>
      </c>
      <c r="P9" s="15" t="s">
        <v>69</v>
      </c>
      <c r="Q9" s="15" t="s">
        <v>89</v>
      </c>
      <c r="R9" s="15" t="s">
        <v>83</v>
      </c>
      <c r="S9" s="15" t="s">
        <v>82</v>
      </c>
      <c r="T9" s="15" t="s">
        <v>72</v>
      </c>
    </row>
    <row r="10" spans="1:20">
      <c r="A10" s="14">
        <v>2.2000000000000002</v>
      </c>
      <c r="B10" s="15" t="s">
        <v>107</v>
      </c>
      <c r="C10" s="16">
        <v>45753</v>
      </c>
      <c r="D10" s="16">
        <v>45753</v>
      </c>
      <c r="E10" s="15">
        <v>0</v>
      </c>
      <c r="F10" s="15">
        <v>1</v>
      </c>
      <c r="G10" s="16">
        <v>45753</v>
      </c>
      <c r="H10" s="16">
        <v>45753</v>
      </c>
      <c r="I10" s="15">
        <v>8</v>
      </c>
      <c r="J10" s="15">
        <v>0</v>
      </c>
      <c r="K10" s="15">
        <v>0</v>
      </c>
      <c r="L10" s="15">
        <v>0</v>
      </c>
      <c r="M10" s="16"/>
      <c r="N10" s="16"/>
      <c r="O10" s="14"/>
      <c r="P10" s="15"/>
      <c r="Q10" s="15" t="s">
        <v>76</v>
      </c>
      <c r="R10" s="15" t="s">
        <v>24</v>
      </c>
      <c r="S10" s="15"/>
      <c r="T10" s="15" t="s">
        <v>70</v>
      </c>
    </row>
    <row r="11" spans="1:20">
      <c r="A11" s="14">
        <v>3</v>
      </c>
      <c r="B11" s="15" t="s">
        <v>102</v>
      </c>
      <c r="C11" s="16">
        <v>45753</v>
      </c>
      <c r="D11" s="16">
        <v>45753</v>
      </c>
      <c r="E11" s="15">
        <v>0</v>
      </c>
      <c r="F11" s="15">
        <v>1</v>
      </c>
      <c r="G11" s="16">
        <v>45753</v>
      </c>
      <c r="H11" s="16">
        <v>45753</v>
      </c>
      <c r="I11" s="15">
        <v>8</v>
      </c>
      <c r="J11" s="15">
        <v>0</v>
      </c>
      <c r="K11" s="15">
        <v>0</v>
      </c>
      <c r="L11" s="15">
        <v>0</v>
      </c>
      <c r="M11" s="16"/>
      <c r="N11" s="16"/>
      <c r="O11" s="14"/>
      <c r="P11" s="15"/>
      <c r="Q11" s="15" t="s">
        <v>76</v>
      </c>
      <c r="R11" s="15" t="s">
        <v>33</v>
      </c>
      <c r="S11" s="15"/>
      <c r="T11" s="15" t="s">
        <v>70</v>
      </c>
    </row>
    <row r="12" spans="1:20">
      <c r="A12" s="14">
        <v>3.1</v>
      </c>
      <c r="B12" s="15" t="s">
        <v>108</v>
      </c>
      <c r="C12" s="16">
        <v>45757</v>
      </c>
      <c r="D12" s="16">
        <v>45758</v>
      </c>
      <c r="E12" s="15">
        <v>0</v>
      </c>
      <c r="F12" s="15">
        <v>2</v>
      </c>
      <c r="G12" s="16">
        <v>45757</v>
      </c>
      <c r="H12" s="16">
        <v>45758</v>
      </c>
      <c r="I12" s="15">
        <v>8</v>
      </c>
      <c r="J12" s="15">
        <v>8</v>
      </c>
      <c r="K12" s="15">
        <v>0</v>
      </c>
      <c r="L12" s="15">
        <v>8</v>
      </c>
      <c r="M12" s="16"/>
      <c r="N12" s="16"/>
      <c r="O12" s="14">
        <v>2.1</v>
      </c>
      <c r="P12" s="15" t="s">
        <v>71</v>
      </c>
      <c r="Q12" s="15" t="s">
        <v>76</v>
      </c>
      <c r="R12" s="15" t="s">
        <v>85</v>
      </c>
      <c r="S12" s="15" t="s">
        <v>83</v>
      </c>
      <c r="T12" s="15" t="s">
        <v>70</v>
      </c>
    </row>
    <row r="13" spans="1:20">
      <c r="A13" s="14">
        <v>3.2</v>
      </c>
      <c r="B13" s="15" t="s">
        <v>107</v>
      </c>
      <c r="C13" s="16">
        <v>45753</v>
      </c>
      <c r="D13" s="16">
        <v>45753</v>
      </c>
      <c r="E13" s="15">
        <v>0</v>
      </c>
      <c r="F13" s="15">
        <v>1</v>
      </c>
      <c r="G13" s="16">
        <v>45753</v>
      </c>
      <c r="H13" s="16">
        <v>45753</v>
      </c>
      <c r="I13" s="15">
        <v>8</v>
      </c>
      <c r="J13" s="15">
        <v>0</v>
      </c>
      <c r="K13" s="15">
        <v>0</v>
      </c>
      <c r="L13" s="15">
        <v>0</v>
      </c>
      <c r="M13" s="16"/>
      <c r="N13" s="16"/>
      <c r="O13" s="14"/>
      <c r="P13" s="15"/>
      <c r="Q13" s="15" t="s">
        <v>76</v>
      </c>
      <c r="R13" s="15" t="s">
        <v>39</v>
      </c>
      <c r="S13" s="15"/>
      <c r="T13" s="15" t="s">
        <v>70</v>
      </c>
    </row>
    <row r="14" spans="1:20">
      <c r="A14" s="14">
        <v>3.4</v>
      </c>
      <c r="B14" s="15" t="s">
        <v>109</v>
      </c>
      <c r="C14" s="16">
        <v>45757</v>
      </c>
      <c r="D14" s="16">
        <v>45758</v>
      </c>
      <c r="E14" s="15">
        <v>0</v>
      </c>
      <c r="F14" s="15">
        <v>2</v>
      </c>
      <c r="G14" s="16">
        <v>45757</v>
      </c>
      <c r="H14" s="16">
        <v>45758</v>
      </c>
      <c r="I14" s="15">
        <v>8</v>
      </c>
      <c r="J14" s="15">
        <v>8</v>
      </c>
      <c r="K14" s="15">
        <v>0</v>
      </c>
      <c r="L14" s="15">
        <v>8</v>
      </c>
      <c r="M14" s="16"/>
      <c r="N14" s="16"/>
      <c r="O14" s="14">
        <v>2.1</v>
      </c>
      <c r="P14" s="15" t="s">
        <v>71</v>
      </c>
      <c r="Q14" s="15" t="s">
        <v>76</v>
      </c>
      <c r="R14" s="15" t="s">
        <v>87</v>
      </c>
      <c r="S14" s="15" t="s">
        <v>83</v>
      </c>
      <c r="T14" s="15" t="s">
        <v>70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BtnRefreshWBSView">
                <anchor moveWithCells="1">
                  <from>
                    <xdr:col>1</xdr:col>
                    <xdr:colOff>71438</xdr:colOff>
                    <xdr:row>1</xdr:row>
                    <xdr:rowOff>52388</xdr:rowOff>
                  </from>
                  <to>
                    <xdr:col>1</xdr:col>
                    <xdr:colOff>981075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BtnCreateNewTask">
                <anchor moveWithCells="1">
                  <from>
                    <xdr:col>1</xdr:col>
                    <xdr:colOff>71438</xdr:colOff>
                    <xdr:row>1</xdr:row>
                    <xdr:rowOff>509588</xdr:rowOff>
                  </from>
                  <to>
                    <xdr:col>1</xdr:col>
                    <xdr:colOff>981075</xdr:colOff>
                    <xdr:row>1</xdr:row>
                    <xdr:rowOff>814388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463DC-3D9C-4D79-BFE9-04334980EF23}">
  <sheetPr codeName="shtTasks"/>
  <dimension ref="A1:Q11"/>
  <sheetViews>
    <sheetView workbookViewId="0">
      <selection activeCell="C2" sqref="C2"/>
    </sheetView>
  </sheetViews>
  <sheetFormatPr defaultRowHeight="14.25"/>
  <cols>
    <col min="1" max="1" width="35.06640625" bestFit="1" customWidth="1"/>
    <col min="2" max="2" width="8.1328125" bestFit="1" customWidth="1"/>
    <col min="3" max="3" width="17.86328125" bestFit="1" customWidth="1"/>
    <col min="4" max="5" width="9.19921875" bestFit="1" customWidth="1"/>
    <col min="6" max="6" width="7.6640625" bestFit="1" customWidth="1"/>
    <col min="7" max="7" width="16.59765625" bestFit="1" customWidth="1"/>
    <col min="8" max="8" width="7.3984375" bestFit="1" customWidth="1"/>
    <col min="9" max="9" width="13.33203125" bestFit="1" customWidth="1"/>
    <col min="10" max="10" width="12.3984375" bestFit="1" customWidth="1"/>
    <col min="11" max="11" width="14.6640625" bestFit="1" customWidth="1"/>
    <col min="12" max="12" width="14.86328125" bestFit="1" customWidth="1"/>
    <col min="13" max="13" width="14" bestFit="1" customWidth="1"/>
    <col min="14" max="14" width="16.19921875" bestFit="1" customWidth="1"/>
    <col min="15" max="15" width="11.59765625" bestFit="1" customWidth="1"/>
    <col min="16" max="16" width="33.1328125" bestFit="1" customWidth="1"/>
    <col min="17" max="17" width="9.33203125" bestFit="1" customWidth="1"/>
  </cols>
  <sheetData>
    <row r="1" spans="1:17">
      <c r="A1" t="s">
        <v>46</v>
      </c>
      <c r="B1" t="s">
        <v>79</v>
      </c>
      <c r="C1" t="s">
        <v>47</v>
      </c>
      <c r="D1" t="s">
        <v>50</v>
      </c>
      <c r="E1" t="s">
        <v>51</v>
      </c>
      <c r="F1" t="s">
        <v>5</v>
      </c>
      <c r="G1" t="s">
        <v>56</v>
      </c>
      <c r="H1" t="s">
        <v>52</v>
      </c>
      <c r="I1" t="s">
        <v>58</v>
      </c>
      <c r="J1" t="s">
        <v>59</v>
      </c>
      <c r="K1" t="s">
        <v>57</v>
      </c>
      <c r="L1" t="s">
        <v>53</v>
      </c>
      <c r="M1" t="s">
        <v>54</v>
      </c>
      <c r="N1" t="s">
        <v>55</v>
      </c>
      <c r="O1" t="s">
        <v>60</v>
      </c>
      <c r="P1" t="s">
        <v>49</v>
      </c>
      <c r="Q1" t="s">
        <v>48</v>
      </c>
    </row>
    <row r="2" spans="1:17" ht="28.5">
      <c r="A2" s="1" t="s">
        <v>80</v>
      </c>
      <c r="B2" s="1">
        <v>1</v>
      </c>
      <c r="C2" s="1" t="s">
        <v>103</v>
      </c>
      <c r="D2" s="7">
        <v>45748</v>
      </c>
      <c r="E2" s="7">
        <v>45765</v>
      </c>
      <c r="F2" s="1">
        <v>18</v>
      </c>
      <c r="G2" s="1">
        <v>4</v>
      </c>
      <c r="H2" s="1">
        <v>99</v>
      </c>
      <c r="I2" s="7">
        <v>45748</v>
      </c>
      <c r="J2" s="7">
        <v>45765</v>
      </c>
      <c r="K2" s="1">
        <v>3</v>
      </c>
      <c r="L2" s="7">
        <v>45748</v>
      </c>
      <c r="M2" s="7">
        <v>45748</v>
      </c>
      <c r="N2" s="1">
        <v>4</v>
      </c>
      <c r="O2" s="1"/>
      <c r="P2" s="1"/>
      <c r="Q2" s="1" t="s">
        <v>65</v>
      </c>
    </row>
    <row r="3" spans="1:17">
      <c r="A3" s="1" t="s">
        <v>81</v>
      </c>
      <c r="B3" s="1">
        <v>1.1000000000000001</v>
      </c>
      <c r="C3" s="1" t="s">
        <v>66</v>
      </c>
      <c r="D3" s="7">
        <v>45749</v>
      </c>
      <c r="E3" s="7">
        <v>45752</v>
      </c>
      <c r="F3" s="1">
        <v>4</v>
      </c>
      <c r="G3" s="1">
        <v>16</v>
      </c>
      <c r="H3" s="1">
        <v>50</v>
      </c>
      <c r="I3" s="7">
        <v>45749</v>
      </c>
      <c r="J3" s="10">
        <v>0</v>
      </c>
      <c r="K3" s="1">
        <v>8</v>
      </c>
      <c r="L3" s="7">
        <v>45749</v>
      </c>
      <c r="M3" s="7">
        <v>45752</v>
      </c>
      <c r="N3" s="1">
        <v>16</v>
      </c>
      <c r="O3" s="1" t="s">
        <v>80</v>
      </c>
      <c r="P3" s="1" t="s">
        <v>80</v>
      </c>
      <c r="Q3" s="1" t="s">
        <v>67</v>
      </c>
    </row>
    <row r="4" spans="1:17">
      <c r="A4" s="1" t="s">
        <v>82</v>
      </c>
      <c r="B4" s="1" t="s">
        <v>68</v>
      </c>
      <c r="C4" s="1" t="s">
        <v>69</v>
      </c>
      <c r="D4" s="7">
        <v>45749</v>
      </c>
      <c r="E4" s="7">
        <v>45750</v>
      </c>
      <c r="F4" s="1">
        <v>2</v>
      </c>
      <c r="G4" s="1">
        <v>8</v>
      </c>
      <c r="H4" s="1">
        <v>100</v>
      </c>
      <c r="I4" s="7">
        <v>45749</v>
      </c>
      <c r="J4" s="7">
        <v>45750</v>
      </c>
      <c r="K4" s="1">
        <v>8</v>
      </c>
      <c r="L4" s="7">
        <v>45749</v>
      </c>
      <c r="M4" s="7">
        <v>45750</v>
      </c>
      <c r="N4" s="1">
        <v>8</v>
      </c>
      <c r="O4" s="1"/>
      <c r="P4" s="1" t="s">
        <v>81</v>
      </c>
      <c r="Q4" s="1" t="s">
        <v>70</v>
      </c>
    </row>
    <row r="5" spans="1:17">
      <c r="A5" s="1" t="s">
        <v>83</v>
      </c>
      <c r="B5" s="1">
        <v>2.1</v>
      </c>
      <c r="C5" s="1" t="s">
        <v>71</v>
      </c>
      <c r="D5" s="10">
        <v>0</v>
      </c>
      <c r="E5" s="10">
        <v>0</v>
      </c>
      <c r="F5" s="1">
        <v>0</v>
      </c>
      <c r="G5" s="1">
        <v>8</v>
      </c>
      <c r="H5" s="1">
        <v>0</v>
      </c>
      <c r="I5" s="10">
        <v>0</v>
      </c>
      <c r="J5" s="10">
        <v>0</v>
      </c>
      <c r="K5" s="1">
        <v>0</v>
      </c>
      <c r="L5" s="10">
        <v>0</v>
      </c>
      <c r="M5" s="10">
        <v>0</v>
      </c>
      <c r="N5" s="1">
        <v>8</v>
      </c>
      <c r="O5" s="1" t="s">
        <v>82</v>
      </c>
      <c r="P5" s="1" t="s">
        <v>84</v>
      </c>
      <c r="Q5" s="1" t="s">
        <v>72</v>
      </c>
    </row>
    <row r="6" spans="1:17">
      <c r="A6" s="1" t="s">
        <v>84</v>
      </c>
      <c r="B6" s="1">
        <v>2</v>
      </c>
      <c r="C6" s="1" t="s">
        <v>75</v>
      </c>
      <c r="D6" s="7">
        <v>45755</v>
      </c>
      <c r="E6" s="7">
        <v>45759</v>
      </c>
      <c r="F6" s="1">
        <v>5</v>
      </c>
      <c r="G6" s="1">
        <v>8</v>
      </c>
      <c r="H6" s="1">
        <v>75</v>
      </c>
      <c r="I6" s="13">
        <v>45755</v>
      </c>
      <c r="J6" s="13">
        <v>45759</v>
      </c>
      <c r="K6" s="1">
        <v>6</v>
      </c>
      <c r="L6" s="7">
        <v>45757</v>
      </c>
      <c r="M6" s="7">
        <v>45758</v>
      </c>
      <c r="N6" s="1">
        <v>8</v>
      </c>
      <c r="O6" s="1"/>
      <c r="P6" s="1"/>
      <c r="Q6" s="1" t="s">
        <v>70</v>
      </c>
    </row>
    <row r="7" spans="1:17" ht="28.5">
      <c r="A7" s="1" t="s">
        <v>85</v>
      </c>
      <c r="B7" s="1">
        <v>3.1</v>
      </c>
      <c r="C7" s="1" t="s">
        <v>86</v>
      </c>
      <c r="D7" s="7">
        <v>45757</v>
      </c>
      <c r="E7" s="7">
        <v>45758</v>
      </c>
      <c r="F7" s="1">
        <v>2</v>
      </c>
      <c r="G7" s="1">
        <v>8</v>
      </c>
      <c r="H7" s="1">
        <v>0</v>
      </c>
      <c r="I7" s="10">
        <v>0</v>
      </c>
      <c r="J7" s="10">
        <v>0</v>
      </c>
      <c r="K7" s="1">
        <v>0</v>
      </c>
      <c r="L7" s="7">
        <v>45757</v>
      </c>
      <c r="M7" s="7">
        <v>45758</v>
      </c>
      <c r="N7" s="1">
        <v>8</v>
      </c>
      <c r="O7" s="1" t="s">
        <v>83</v>
      </c>
      <c r="P7" s="1" t="s">
        <v>33</v>
      </c>
      <c r="Q7" s="1" t="s">
        <v>70</v>
      </c>
    </row>
    <row r="8" spans="1:17" ht="28.5">
      <c r="A8" s="1" t="s">
        <v>87</v>
      </c>
      <c r="B8" s="1">
        <v>3.4</v>
      </c>
      <c r="C8" s="1" t="s">
        <v>88</v>
      </c>
      <c r="D8" s="7">
        <v>45757</v>
      </c>
      <c r="E8" s="7">
        <v>45758</v>
      </c>
      <c r="F8" s="1">
        <v>2</v>
      </c>
      <c r="G8" s="1">
        <v>8</v>
      </c>
      <c r="H8" s="1">
        <v>0</v>
      </c>
      <c r="I8" s="10">
        <v>0</v>
      </c>
      <c r="J8" s="10">
        <v>0</v>
      </c>
      <c r="K8" s="1">
        <v>0</v>
      </c>
      <c r="L8" s="7">
        <v>45757</v>
      </c>
      <c r="M8" s="7">
        <v>45758</v>
      </c>
      <c r="N8" s="1">
        <v>8</v>
      </c>
      <c r="O8" s="1" t="s">
        <v>83</v>
      </c>
      <c r="P8" s="1" t="s">
        <v>33</v>
      </c>
      <c r="Q8" s="1" t="s">
        <v>70</v>
      </c>
    </row>
    <row r="9" spans="1:17">
      <c r="A9" t="s">
        <v>33</v>
      </c>
      <c r="B9">
        <v>3</v>
      </c>
      <c r="C9" t="s">
        <v>102</v>
      </c>
      <c r="D9" s="2">
        <v>45753</v>
      </c>
      <c r="E9" s="2">
        <v>45753</v>
      </c>
      <c r="F9">
        <v>1</v>
      </c>
      <c r="G9">
        <v>0</v>
      </c>
      <c r="H9">
        <v>0</v>
      </c>
      <c r="I9" s="8">
        <v>0</v>
      </c>
      <c r="J9" s="8">
        <v>0</v>
      </c>
      <c r="K9">
        <v>0</v>
      </c>
      <c r="L9" s="2">
        <v>45753</v>
      </c>
      <c r="M9" s="2">
        <v>45753</v>
      </c>
      <c r="N9">
        <v>8</v>
      </c>
      <c r="Q9" t="s">
        <v>70</v>
      </c>
    </row>
    <row r="10" spans="1:17">
      <c r="A10" t="s">
        <v>24</v>
      </c>
      <c r="B10">
        <v>2.2000000000000002</v>
      </c>
      <c r="C10" t="s">
        <v>102</v>
      </c>
      <c r="D10" s="2">
        <v>45753</v>
      </c>
      <c r="E10" s="2">
        <v>45753</v>
      </c>
      <c r="F10">
        <v>1</v>
      </c>
      <c r="G10">
        <v>0</v>
      </c>
      <c r="H10">
        <v>0</v>
      </c>
      <c r="I10" s="8">
        <v>0</v>
      </c>
      <c r="J10" s="8">
        <v>0</v>
      </c>
      <c r="K10">
        <v>0</v>
      </c>
      <c r="L10" s="2">
        <v>45753</v>
      </c>
      <c r="M10" s="2">
        <v>45753</v>
      </c>
      <c r="N10">
        <v>8</v>
      </c>
      <c r="P10" t="s">
        <v>84</v>
      </c>
      <c r="Q10" t="s">
        <v>70</v>
      </c>
    </row>
    <row r="11" spans="1:17">
      <c r="A11" t="s">
        <v>39</v>
      </c>
      <c r="B11">
        <v>3.2</v>
      </c>
      <c r="C11" t="s">
        <v>102</v>
      </c>
      <c r="D11" s="2">
        <v>45753</v>
      </c>
      <c r="E11" s="2">
        <v>45753</v>
      </c>
      <c r="F11">
        <v>1</v>
      </c>
      <c r="G11">
        <v>0</v>
      </c>
      <c r="H11">
        <v>0</v>
      </c>
      <c r="I11" s="8">
        <v>0</v>
      </c>
      <c r="J11" s="8">
        <v>0</v>
      </c>
      <c r="K11">
        <v>0</v>
      </c>
      <c r="L11" s="2">
        <v>45753</v>
      </c>
      <c r="M11" s="2">
        <v>45753</v>
      </c>
      <c r="N11">
        <v>8</v>
      </c>
      <c r="P11" t="s">
        <v>33</v>
      </c>
      <c r="Q11" t="s">
        <v>70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C9DB9-65F4-4781-91F6-524632C26E3F}">
  <sheetPr codeName="shtResources"/>
  <dimension ref="A1:B6"/>
  <sheetViews>
    <sheetView workbookViewId="0">
      <selection activeCell="B6" sqref="B6"/>
    </sheetView>
  </sheetViews>
  <sheetFormatPr defaultRowHeight="14.25"/>
  <cols>
    <col min="1" max="1" width="10.86328125" customWidth="1"/>
    <col min="2" max="2" width="17.3984375" bestFit="1" customWidth="1"/>
  </cols>
  <sheetData>
    <row r="1" spans="1:2">
      <c r="A1" t="s">
        <v>46</v>
      </c>
      <c r="B1" t="s">
        <v>47</v>
      </c>
    </row>
    <row r="2" spans="1:2">
      <c r="A2" s="1" t="s">
        <v>65</v>
      </c>
      <c r="B2" s="1" t="s">
        <v>73</v>
      </c>
    </row>
    <row r="3" spans="1:2">
      <c r="A3" s="1" t="s">
        <v>67</v>
      </c>
      <c r="B3" s="1" t="s">
        <v>74</v>
      </c>
    </row>
    <row r="4" spans="1:2">
      <c r="A4" t="s">
        <v>70</v>
      </c>
      <c r="B4" t="s">
        <v>76</v>
      </c>
    </row>
    <row r="5" spans="1:2">
      <c r="A5" t="s">
        <v>72</v>
      </c>
      <c r="B5" t="s">
        <v>89</v>
      </c>
    </row>
    <row r="6" spans="1:2">
      <c r="A6" s="1"/>
      <c r="B6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077E-4A9E-441D-81F1-9D23E832F31B}">
  <sheetPr codeName="Sheet3"/>
  <dimension ref="A1:A3"/>
  <sheetViews>
    <sheetView workbookViewId="0">
      <selection activeCell="A2" sqref="A2"/>
    </sheetView>
  </sheetViews>
  <sheetFormatPr defaultRowHeight="14.25"/>
  <sheetData>
    <row r="1" spans="1:1">
      <c r="A1" t="s">
        <v>61</v>
      </c>
    </row>
    <row r="2" spans="1:1">
      <c r="A2" t="s">
        <v>63</v>
      </c>
    </row>
    <row r="3" spans="1:1">
      <c r="A3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WBS data</vt:lpstr>
      <vt:lpstr>Resource Allocation</vt:lpstr>
      <vt:lpstr>Settings</vt:lpstr>
      <vt:lpstr>test</vt:lpstr>
      <vt:lpstr>test2</vt:lpstr>
      <vt:lpstr>Database</vt:lpstr>
      <vt:lpstr>WBS View</vt:lpstr>
      <vt:lpstr>Tasks</vt:lpstr>
      <vt:lpstr>Resources</vt:lpstr>
      <vt:lpstr>(note)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2025-04-08T13:59:51Z</dcterms:modified>
</cp:coreProperties>
</file>