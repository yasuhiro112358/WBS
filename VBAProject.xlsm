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247F2F92-9BBB-44F5-A69A-9F460EB119AC}" xr6:coauthVersionLast="47" xr6:coauthVersionMax="47" xr10:uidLastSave="{00000000-0000-0000-0000-000000000000}"/>
  <bookViews>
    <workbookView xWindow="-98" yWindow="277" windowWidth="28996" windowHeight="16020" activeTab="6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  <sheet name="WBS View" sheetId="10" r:id="rId7"/>
    <sheet name="Tasks" sheetId="7" r:id="rId8"/>
    <sheet name="Resources" sheetId="8" r:id="rId9"/>
    <sheet name="(note)" sheetId="9" r:id="rId10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<sst xmlns="http://schemas.openxmlformats.org/spreadsheetml/2006/main" count="172" uniqueCount="84">
  <si>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</si>
  <si>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</si>
  <si>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</si>
  <si>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</si>
  <si>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</si>
  <si>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</si>
  <si>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</si>
  <si>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</si>
  <si>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</si>
  <si>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</si>
  <si>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</si>
  <si>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</si>
  <si>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</si>
  <si>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</si>
  <si>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</si>
  <si>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</si>
  <si>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</si>
  <si>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</si>
  <si>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</si>
  <si>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</si>
  <si>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</si>
  <si>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</si>
  <si>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</si>
  <si>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</si>
  <si>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</si>
  <si>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</si>
  <si>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</si>
  <si>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</si>
  <si>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</si>
  <si>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</si>
  <si>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</si>
  <si>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</si>
  <si>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</si>
  <si>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</si>
  <si>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</si>
  <si>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</si>
  <si>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</si>
  <si>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</si>
  <si>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</si>
  <si>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</si>
  <si>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</si>
  <si>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</si>
  <si>
    <t>* Test Project</t>
  </si>
  <si>
    <t xml:space="preserve">        * Phase A</t>
  </si>
  <si>
    <t xml:space="preserve">        * Phase B</t>
  </si>
  <si>
    <t xml:space="preserve">        * New Task from VBA</t>
  </si>
  <si>
    <t>Id</t>
  </si>
  <si>
    <t>Name</t>
  </si>
  <si>
    <t>ResourceId</t>
  </si>
  <si>
    <t>ParentId</t>
  </si>
  <si>
    <t>StartDate</t>
  </si>
  <si>
    <t>EndDate</t>
  </si>
  <si>
    <t>Progress</t>
  </si>
  <si>
    <t>BaselineStartDate</t>
  </si>
  <si>
    <t>BaselineEndDate</t>
  </si>
  <si>
    <t>BaselineWorkHours</t>
  </si>
  <si>
    <t>AssignedWorkHours</t>
  </si>
  <si>
    <t>ActualWorkHours</t>
  </si>
  <si>
    <t>ActualStartDate</t>
  </si>
  <si>
    <t>ActualEndDate</t>
  </si>
  <si>
    <t>PredecessorId</t>
  </si>
  <si>
    <t>RemainingWorkHours =  AssignedWorkHours - ActualWorkHours</t>
  </si>
  <si>
    <t>Progress = ActualWorkHours / AssignedWorkHours OR Actual Progress PM decides</t>
  </si>
  <si>
    <t>[x] Duration = EndDate - StartDate + 1   =&gt; Needs to caluculate calendar dates</t>
  </si>
  <si>
    <t xml:space="preserve">                * Task A-1</t>
  </si>
  <si>
    <t>プロジェクト開始</t>
  </si>
  <si>
    <t>R001</t>
  </si>
  <si>
    <t>要件定義</t>
  </si>
  <si>
    <t>R002</t>
  </si>
  <si>
    <t>1.1.1</t>
  </si>
  <si>
    <t>ヒアリング</t>
  </si>
  <si>
    <t>R003</t>
  </si>
  <si>
    <t>1.1.2</t>
  </si>
  <si>
    <t>仕様書作成</t>
  </si>
  <si>
    <t>R004</t>
  </si>
  <si>
    <t>佐藤一郎</t>
  </si>
  <si>
    <t>鈴木花子</t>
  </si>
  <si>
    <t>設計レビュー</t>
  </si>
  <si>
    <t>* プロジェクト開始</t>
  </si>
  <si>
    <t xml:space="preserve">        * 要件定義</t>
  </si>
  <si>
    <t xml:space="preserve">                * ヒアリング</t>
  </si>
  <si>
    <t>(Unassigned)</t>
  </si>
  <si>
    <t xml:space="preserve">                * 仕様書作成</t>
  </si>
  <si>
    <t xml:space="preserve">                * 設計レビュー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</si>
</sst>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/>
    <xf numFmtId="14" fontId="0" fillId="0" borderId="0" xfId="0" applyNumberFormat="1" applyAlignment="1">
      <alignment vertical="center" wrapText="1"/>
    </xf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sqref="A1:P1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45752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45752</v>
      </c>
      <c r="H4" s="2">
        <f ca="1">TODAY()</f>
        <v>45752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45752</v>
      </c>
      <c r="H5" s="2">
        <f t="shared" ca="1" si="0"/>
        <v>45752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45752</v>
      </c>
      <c r="H6" s="2">
        <f t="shared" ca="1" si="0"/>
        <v>45752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45752</v>
      </c>
      <c r="H7" s="2">
        <f t="shared" ca="1" si="0"/>
        <v>45752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45752</v>
      </c>
      <c r="H8" s="2">
        <f t="shared" ca="1" si="0"/>
        <v>45752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45752</v>
      </c>
      <c r="H9" s="2">
        <f t="shared" ca="1" si="0"/>
        <v>45752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3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H17" sqref="H17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sqref="A1:P1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7"/>
  <sheetViews>
    <sheetView workbookViewId="0">
      <selection activeCell="B22" sqref="B22"/>
    </sheetView>
  </sheetViews>
  <sheetFormatPr defaultRowHeight="12.75"/>
  <cols>
    <col min="1" max="1" width="59.796875" style="6" customWidth="1"/>
    <col min="2" max="2" width="35.06640625" style="6" bestFit="1" customWidth="1"/>
    <col min="3" max="3" width="23.1328125" style="6" bestFit="1" customWidth="1"/>
    <col min="4" max="16384" width="9.06640625" style="6"/>
  </cols>
  <sheetData>
    <row r="1" spans="1:3">
      <c r="A1" s="5" t="s">
        <v>1</v>
      </c>
      <c r="B1" s="5"/>
      <c r="C1" s="5"/>
    </row>
    <row r="2" spans="1:3">
      <c r="A2" s="6" t="s">
        <v>42</v>
      </c>
    </row>
    <row r="3" spans="1:3">
      <c r="A3" s="6" t="s">
        <v>43</v>
      </c>
    </row>
    <row r="4" spans="1:3">
      <c r="A4" s="6" t="s">
        <v>64</v>
      </c>
    </row>
    <row r="5" spans="1:3">
      <c r="A5" s="6" t="s">
        <v>44</v>
      </c>
    </row>
    <row r="6" spans="1:3">
      <c r="A6" s="6" t="s">
        <v>45</v>
      </c>
    </row>
    <row r="7" spans="1:3">
      <c r="A7" s="6" t="s">
        <v>45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workbookViewId="0">
      <selection activeCell="B14" sqref="B14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37</v>
      </c>
      <c r="C1" t="s">
        <v>1</v>
      </c>
    </row>
    <row r="2" spans="1:3">
      <c r="A2" t="s">
        <v>24</v>
      </c>
      <c r="C2" t="s">
        <v>38</v>
      </c>
    </row>
    <row r="3" spans="1:3">
      <c r="A3" t="s">
        <v>39</v>
      </c>
      <c r="B3" t="s">
        <v>24</v>
      </c>
      <c r="C3" t="s">
        <v>34</v>
      </c>
    </row>
    <row r="4" spans="1:3">
      <c r="A4" t="s">
        <v>32</v>
      </c>
      <c r="B4" t="s">
        <v>39</v>
      </c>
      <c r="C4" t="s">
        <v>35</v>
      </c>
    </row>
    <row r="5" spans="1:3">
      <c r="A5" t="s">
        <v>40</v>
      </c>
      <c r="B5" t="s">
        <v>24</v>
      </c>
      <c r="C5" t="s">
        <v>36</v>
      </c>
    </row>
    <row r="6" spans="1:3">
      <c r="A6" t="s">
        <v>33</v>
      </c>
      <c r="B6" t="s">
        <v>24</v>
      </c>
      <c r="C6" t="s">
        <v>41</v>
      </c>
    </row>
    <row r="7" spans="1:3">
      <c r="A7" t="s">
        <v>26</v>
      </c>
      <c r="B7" t="s">
        <v>24</v>
      </c>
      <c r="C7" t="s">
        <v>41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C8925-A5B5-4FD9-B57A-FDABB58D42AC}">
  <sheetPr codeName="shtWbsView"/>
  <dimension ref="A1:P10"/>
  <sheetViews>
    <sheetView tabSelected="1" workbookViewId="0">
      <selection activeCell="B10" sqref="B10"/>
    </sheetView>
  </sheetViews>
  <sheetFormatPr defaultRowHeight="14.25"/>
  <cols>
    <col min="1" max="1" width="34.796875" bestFit="1" customWidth="1"/>
    <col min="2" max="2" width="21.796875" bestFit="1" customWidth="1"/>
    <col min="9" max="9" width="7.265625" bestFit="1" customWidth="1"/>
    <col min="16" max="16" width="10.9296875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>
        <v>1</v>
      </c>
      <c r="B2" t="s">
        <v>78</v>
      </c>
      <c r="C2" s="2">
        <v>45748</v>
      </c>
      <c r="D2" s="2">
        <v>45748</v>
      </c>
      <c r="E2">
        <v>100</v>
      </c>
      <c r="F2">
        <v>1</v>
      </c>
      <c r="G2" s="2">
        <v>45748</v>
      </c>
      <c r="H2" s="2">
        <v>45748</v>
      </c>
      <c r="I2">
        <v>4</v>
      </c>
      <c r="J2">
        <v>4</v>
      </c>
      <c r="K2">
        <v>4</v>
      </c>
      <c r="L2">
        <v>0</v>
      </c>
      <c r="M2" s="2">
        <v>45748</v>
      </c>
      <c r="N2" s="2">
        <v>45748</v>
      </c>
      <c r="P2" t="s">
        <v>75</v>
      </c>
    </row>
    <row r="3" spans="1:16">
      <c r="A3">
        <v>1.1000000000000001</v>
      </c>
      <c r="B3" t="s">
        <v>79</v>
      </c>
      <c r="C3" s="2">
        <v>45749</v>
      </c>
      <c r="D3" s="2">
        <v>45752</v>
      </c>
      <c r="E3">
        <v>50</v>
      </c>
      <c r="F3">
        <v>4</v>
      </c>
      <c r="G3" s="2">
        <v>45749</v>
      </c>
      <c r="H3" s="2">
        <v>45752</v>
      </c>
      <c r="I3">
        <v>16</v>
      </c>
      <c r="J3">
        <v>16</v>
      </c>
      <c r="K3">
        <v>8</v>
      </c>
      <c r="L3">
        <v>8</v>
      </c>
      <c r="M3" s="2">
        <v>45749</v>
      </c>
      <c r="O3">
        <v>1</v>
      </c>
      <c r="P3" t="s">
        <v>76</v>
      </c>
    </row>
    <row r="4" spans="1:16">
      <c r="A4" t="s">
        <v>69</v>
      </c>
      <c r="B4" t="s">
        <v>80</v>
      </c>
      <c r="C4" s="2">
        <v>45749</v>
      </c>
      <c r="D4" s="2">
        <v>45750</v>
      </c>
      <c r="E4">
        <v>100</v>
      </c>
      <c r="F4">
        <v>2</v>
      </c>
      <c r="G4" s="2">
        <v>45749</v>
      </c>
      <c r="H4" s="2">
        <v>45750</v>
      </c>
      <c r="I4">
        <v>8</v>
      </c>
      <c r="J4">
        <v>8</v>
      </c>
      <c r="K4">
        <v>8</v>
      </c>
      <c r="L4">
        <v>0</v>
      </c>
      <c r="M4" s="2">
        <v>45749</v>
      </c>
      <c r="N4" s="2">
        <v>45750</v>
      </c>
      <c r="P4" t="s">
        <v>81</v>
      </c>
    </row>
    <row r="5" spans="1:16">
      <c r="A5" t="s">
        <v>72</v>
      </c>
      <c r="B5" t="s">
        <v>82</v>
      </c>
      <c r="C5" s="2">
        <v>45753</v>
      </c>
      <c r="D5" s="2">
        <v>45754</v>
      </c>
      <c r="E5">
        <v>0</v>
      </c>
      <c r="F5">
        <v>2</v>
      </c>
      <c r="G5" s="2">
        <v>45753</v>
      </c>
      <c r="H5" s="2">
        <v>45754</v>
      </c>
      <c r="I5">
        <v>8</v>
      </c>
      <c r="J5">
        <v>8</v>
      </c>
      <c r="K5">
        <v>0</v>
      </c>
      <c r="L5">
        <v>8</v>
      </c>
      <c r="O5" t="s">
        <v>69</v>
      </c>
      <c r="P5" t="s">
        <v>81</v>
      </c>
    </row>
    <row r="6" spans="1:16">
      <c r="A6" t="s">
        <v>24</v>
      </c>
      <c r="B6" t="s">
        <v>83</v>
      </c>
      <c r="C6" s="2">
        <v>45757</v>
      </c>
      <c r="D6" s="2">
        <v>45758</v>
      </c>
      <c r="E6">
        <v>0</v>
      </c>
      <c r="F6">
        <v>0</v>
      </c>
      <c r="I6">
        <v>0</v>
      </c>
      <c r="J6">
        <v>8</v>
      </c>
      <c r="K6">
        <v>0</v>
      </c>
      <c r="L6">
        <v>8</v>
      </c>
      <c r="P6" t="s">
        <v>81</v>
      </c>
    </row>
    <row r="7" spans="1:16">
      <c r="A7" t="s">
        <v>39</v>
      </c>
      <c r="B7" t="s">
        <v>83</v>
      </c>
      <c r="C7" s="2">
        <v>45757</v>
      </c>
      <c r="D7" s="2">
        <v>45758</v>
      </c>
      <c r="E7">
        <v>0</v>
      </c>
      <c r="F7">
        <v>0</v>
      </c>
      <c r="I7">
        <v>0</v>
      </c>
      <c r="J7">
        <v>8</v>
      </c>
      <c r="K7">
        <v>0</v>
      </c>
      <c r="L7">
        <v>8</v>
      </c>
      <c r="P7" t="s">
        <v>81</v>
      </c>
    </row>
    <row r="8" spans="1:16">
      <c r="A8" t="s">
        <v>32</v>
      </c>
      <c r="B8" t="s">
        <v>83</v>
      </c>
      <c r="C8" s="2">
        <v>45757</v>
      </c>
      <c r="D8" s="2">
        <v>45758</v>
      </c>
      <c r="E8">
        <v>0</v>
      </c>
      <c r="F8">
        <v>0</v>
      </c>
      <c r="I8">
        <v>0</v>
      </c>
      <c r="J8">
        <v>8</v>
      </c>
      <c r="K8">
        <v>0</v>
      </c>
      <c r="L8">
        <v>8</v>
      </c>
      <c r="P8" t="s">
        <v>81</v>
      </c>
    </row>
    <row r="9" spans="1:16">
      <c r="A9" t="s">
        <v>40</v>
      </c>
      <c r="B9" t="s">
        <v>83</v>
      </c>
      <c r="C9" s="2">
        <v>45757</v>
      </c>
      <c r="D9" s="2">
        <v>45758</v>
      </c>
      <c r="E9">
        <v>0</v>
      </c>
      <c r="F9">
        <v>0</v>
      </c>
      <c r="I9">
        <v>0</v>
      </c>
      <c r="J9">
        <v>8</v>
      </c>
      <c r="K9">
        <v>0</v>
      </c>
      <c r="L9">
        <v>8</v>
      </c>
      <c r="P9" t="s">
        <v>81</v>
      </c>
    </row>
    <row r="10" spans="1:16">
      <c r="A10" t="s">
        <v>33</v>
      </c>
      <c r="B10" t="s">
        <v>83</v>
      </c>
      <c r="C10" s="2">
        <v>45757</v>
      </c>
      <c r="D10" s="2">
        <v>45758</v>
      </c>
      <c r="E10">
        <v>0</v>
      </c>
      <c r="F10">
        <v>0</v>
      </c>
      <c r="I10">
        <v>0</v>
      </c>
      <c r="J10">
        <v>8</v>
      </c>
      <c r="K10">
        <v>0</v>
      </c>
      <c r="L10">
        <v>8</v>
      </c>
      <c r="P10" t="s">
        <v>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63DC-3D9C-4D79-BFE9-04334980EF23}">
  <sheetPr codeName="shtTasks"/>
  <dimension ref="A1:P10"/>
  <sheetViews>
    <sheetView workbookViewId="0">
      <selection activeCell="F15" sqref="F15"/>
    </sheetView>
  </sheetViews>
  <sheetFormatPr defaultRowHeight="14.25"/>
  <cols>
    <col min="1" max="1" width="34.265625" bestFit="1" customWidth="1"/>
    <col min="2" max="2" width="16.86328125" bestFit="1" customWidth="1"/>
    <col min="3" max="4" width="9.19921875" bestFit="1" customWidth="1"/>
    <col min="5" max="5" width="7.6640625" bestFit="1" customWidth="1"/>
    <col min="6" max="6" width="16.59765625" bestFit="1" customWidth="1"/>
    <col min="7" max="7" width="7.3984375" bestFit="1" customWidth="1"/>
    <col min="8" max="8" width="13.33203125" bestFit="1" customWidth="1"/>
    <col min="9" max="9" width="12.3984375" bestFit="1" customWidth="1"/>
    <col min="10" max="10" width="14.6640625" bestFit="1" customWidth="1"/>
    <col min="11" max="11" width="14.86328125" bestFit="1" customWidth="1"/>
    <col min="12" max="12" width="14" bestFit="1" customWidth="1"/>
    <col min="13" max="13" width="16.19921875" bestFit="1" customWidth="1"/>
    <col min="14" max="14" width="11.59765625" bestFit="1" customWidth="1"/>
    <col min="15" max="15" width="7.3984375" bestFit="1" customWidth="1"/>
    <col min="16" max="16" width="9.33203125" bestFit="1" customWidth="1"/>
  </cols>
  <sheetData>
    <row r="1" spans="1:16">
      <c r="A1" t="s">
        <v>46</v>
      </c>
      <c r="B1" t="s">
        <v>47</v>
      </c>
      <c r="C1" t="s">
        <v>50</v>
      </c>
      <c r="D1" t="s">
        <v>51</v>
      </c>
      <c r="E1" t="s">
        <v>5</v>
      </c>
      <c r="F1" t="s">
        <v>56</v>
      </c>
      <c r="G1" t="s">
        <v>52</v>
      </c>
      <c r="H1" t="s">
        <v>58</v>
      </c>
      <c r="I1" t="s">
        <v>59</v>
      </c>
      <c r="J1" t="s">
        <v>57</v>
      </c>
      <c r="K1" t="s">
        <v>53</v>
      </c>
      <c r="L1" t="s">
        <v>54</v>
      </c>
      <c r="M1" t="s">
        <v>55</v>
      </c>
      <c r="N1" t="s">
        <v>60</v>
      </c>
      <c r="O1" t="s">
        <v>49</v>
      </c>
      <c r="P1" t="s">
        <v>48</v>
      </c>
    </row>
    <row r="2" spans="1:16">
      <c r="A2" s="1">
        <v>1</v>
      </c>
      <c r="B2" s="1" t="s">
        <v>65</v>
      </c>
      <c r="C2" s="7">
        <v>45748</v>
      </c>
      <c r="D2" s="7">
        <v>45748</v>
      </c>
      <c r="E2" s="1">
        <v>1</v>
      </c>
      <c r="F2" s="1">
        <v>4</v>
      </c>
      <c r="G2" s="1">
        <v>100</v>
      </c>
      <c r="H2" s="7">
        <v>45748</v>
      </c>
      <c r="I2" s="7">
        <v>45748</v>
      </c>
      <c r="J2" s="1">
        <v>4</v>
      </c>
      <c r="K2" s="7">
        <v>45748</v>
      </c>
      <c r="L2" s="7">
        <v>45748</v>
      </c>
      <c r="M2" s="1">
        <v>4</v>
      </c>
      <c r="N2" s="1"/>
      <c r="O2" s="1"/>
      <c r="P2" s="1" t="s">
        <v>66</v>
      </c>
    </row>
    <row r="3" spans="1:16">
      <c r="A3" s="1">
        <v>1.1000000000000001</v>
      </c>
      <c r="B3" s="1" t="s">
        <v>67</v>
      </c>
      <c r="C3" s="7">
        <v>45749</v>
      </c>
      <c r="D3" s="7">
        <v>45752</v>
      </c>
      <c r="E3" s="1">
        <v>4</v>
      </c>
      <c r="F3" s="1">
        <v>16</v>
      </c>
      <c r="G3" s="1">
        <v>50</v>
      </c>
      <c r="H3" s="7">
        <v>45749</v>
      </c>
      <c r="I3" s="1"/>
      <c r="J3" s="1">
        <v>8</v>
      </c>
      <c r="K3" s="7">
        <v>45749</v>
      </c>
      <c r="L3" s="7">
        <v>45752</v>
      </c>
      <c r="M3" s="1">
        <v>16</v>
      </c>
      <c r="N3" s="1">
        <v>1</v>
      </c>
      <c r="O3" s="1">
        <v>1</v>
      </c>
      <c r="P3" s="1" t="s">
        <v>68</v>
      </c>
    </row>
    <row r="4" spans="1:16">
      <c r="A4" s="1" t="s">
        <v>69</v>
      </c>
      <c r="B4" s="1" t="s">
        <v>70</v>
      </c>
      <c r="C4" s="7">
        <v>45749</v>
      </c>
      <c r="D4" s="7">
        <v>45750</v>
      </c>
      <c r="E4" s="1">
        <v>2</v>
      </c>
      <c r="F4" s="1">
        <v>8</v>
      </c>
      <c r="G4" s="1">
        <v>100</v>
      </c>
      <c r="H4" s="7">
        <v>45749</v>
      </c>
      <c r="I4" s="7">
        <v>45750</v>
      </c>
      <c r="J4" s="1">
        <v>8</v>
      </c>
      <c r="K4" s="7">
        <v>45749</v>
      </c>
      <c r="L4" s="7">
        <v>45750</v>
      </c>
      <c r="M4" s="1">
        <v>8</v>
      </c>
      <c r="N4" s="1"/>
      <c r="O4" s="1">
        <v>1.1000000000000001</v>
      </c>
      <c r="P4" s="1" t="s">
        <v>71</v>
      </c>
    </row>
    <row r="5" spans="1:16">
      <c r="A5" t="s">
        <v>72</v>
      </c>
      <c r="B5" t="s">
        <v>73</v>
      </c>
      <c r="C5" s="2">
        <v>45753</v>
      </c>
      <c r="D5" s="2">
        <v>45754</v>
      </c>
      <c r="E5">
        <v>2</v>
      </c>
      <c r="F5">
        <v>8</v>
      </c>
      <c r="G5">
        <v>0</v>
      </c>
      <c r="H5" s="8">
        <v>0</v>
      </c>
      <c r="I5" s="8">
        <v>0</v>
      </c>
      <c r="J5">
        <v>0</v>
      </c>
      <c r="K5" s="2">
        <v>45753</v>
      </c>
      <c r="L5" s="2">
        <v>45754</v>
      </c>
      <c r="M5">
        <v>8</v>
      </c>
      <c r="N5" t="s">
        <v>69</v>
      </c>
      <c r="O5">
        <v>1.1000000000000001</v>
      </c>
      <c r="P5" t="s">
        <v>74</v>
      </c>
    </row>
    <row r="6" spans="1:16">
      <c r="A6" t="s">
        <v>24</v>
      </c>
      <c r="B6" t="s">
        <v>77</v>
      </c>
      <c r="C6" s="2">
        <v>45757</v>
      </c>
      <c r="D6" s="2">
        <v>45758</v>
      </c>
      <c r="E6">
        <v>0</v>
      </c>
      <c r="F6">
        <v>8</v>
      </c>
      <c r="G6">
        <v>0</v>
      </c>
      <c r="H6" s="8">
        <v>0</v>
      </c>
      <c r="I6" s="8">
        <v>0</v>
      </c>
      <c r="J6">
        <v>0</v>
      </c>
      <c r="K6" s="8">
        <v>0</v>
      </c>
      <c r="L6" s="8">
        <v>0</v>
      </c>
      <c r="M6">
        <v>0</v>
      </c>
      <c r="O6">
        <v>1.1000000000000001</v>
      </c>
      <c r="P6" t="s">
        <v>71</v>
      </c>
    </row>
    <row r="7" spans="1:16">
      <c r="A7" t="s">
        <v>39</v>
      </c>
      <c r="B7" t="s">
        <v>77</v>
      </c>
      <c r="C7" s="2">
        <v>45757</v>
      </c>
      <c r="D7" s="2">
        <v>45758</v>
      </c>
      <c r="E7">
        <v>0</v>
      </c>
      <c r="F7">
        <v>8</v>
      </c>
      <c r="G7">
        <v>0</v>
      </c>
      <c r="H7" s="8">
        <v>0</v>
      </c>
      <c r="I7" s="8">
        <v>0</v>
      </c>
      <c r="J7">
        <v>0</v>
      </c>
      <c r="K7" s="8">
        <v>0</v>
      </c>
      <c r="L7" s="8">
        <v>0</v>
      </c>
      <c r="M7">
        <v>0</v>
      </c>
      <c r="O7">
        <v>1.1000000000000001</v>
      </c>
      <c r="P7" t="s">
        <v>71</v>
      </c>
    </row>
    <row r="8" spans="1:16">
      <c r="A8" t="s">
        <v>32</v>
      </c>
      <c r="B8" t="s">
        <v>77</v>
      </c>
      <c r="C8" s="2">
        <v>45757</v>
      </c>
      <c r="D8" s="2">
        <v>45758</v>
      </c>
      <c r="E8">
        <v>0</v>
      </c>
      <c r="F8">
        <v>8</v>
      </c>
      <c r="G8">
        <v>0</v>
      </c>
      <c r="H8" s="8">
        <v>0</v>
      </c>
      <c r="I8" s="8">
        <v>0</v>
      </c>
      <c r="J8">
        <v>0</v>
      </c>
      <c r="K8" s="8">
        <v>0</v>
      </c>
      <c r="L8" s="8">
        <v>0</v>
      </c>
      <c r="M8">
        <v>0</v>
      </c>
      <c r="O8">
        <v>1.1000000000000001</v>
      </c>
      <c r="P8" t="s">
        <v>71</v>
      </c>
    </row>
    <row r="9" spans="1:16">
      <c r="A9" t="s">
        <v>40</v>
      </c>
      <c r="B9" t="s">
        <v>77</v>
      </c>
      <c r="C9" s="2">
        <v>45757</v>
      </c>
      <c r="D9" s="2">
        <v>45758</v>
      </c>
      <c r="E9">
        <v>0</v>
      </c>
      <c r="F9">
        <v>8</v>
      </c>
      <c r="G9">
        <v>0</v>
      </c>
      <c r="H9" s="8">
        <v>0</v>
      </c>
      <c r="I9" s="8">
        <v>0</v>
      </c>
      <c r="J9">
        <v>0</v>
      </c>
      <c r="K9" s="8">
        <v>0</v>
      </c>
      <c r="L9" s="8">
        <v>0</v>
      </c>
      <c r="M9">
        <v>0</v>
      </c>
      <c r="O9">
        <v>1.1000000000000001</v>
      </c>
      <c r="P9" t="s">
        <v>71</v>
      </c>
    </row>
    <row r="10" spans="1:16">
      <c r="A10" t="s">
        <v>33</v>
      </c>
      <c r="B10" t="s">
        <v>77</v>
      </c>
      <c r="C10" s="2">
        <v>45757</v>
      </c>
      <c r="D10" s="2">
        <v>45758</v>
      </c>
      <c r="E10">
        <v>0</v>
      </c>
      <c r="F10">
        <v>8</v>
      </c>
      <c r="G10">
        <v>0</v>
      </c>
      <c r="H10" s="8">
        <v>0</v>
      </c>
      <c r="I10" s="8">
        <v>0</v>
      </c>
      <c r="J10">
        <v>0</v>
      </c>
      <c r="K10" s="8">
        <v>0</v>
      </c>
      <c r="L10" s="8">
        <v>0</v>
      </c>
      <c r="M10">
        <v>0</v>
      </c>
      <c r="O10">
        <v>1.1000000000000001</v>
      </c>
      <c r="P10" t="s">
        <v>71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9DB9-65F4-4781-91F6-524632C26E3F}">
  <sheetPr codeName="shtResources"/>
  <dimension ref="A1:B6"/>
  <sheetViews>
    <sheetView workbookViewId="0">
      <selection activeCell="L7" sqref="L7"/>
    </sheetView>
  </sheetViews>
  <sheetFormatPr defaultRowHeight="14.25"/>
  <sheetData>
    <row r="1" spans="1:2">
      <c r="A1" t="s">
        <v>46</v>
      </c>
      <c r="B1" t="s">
        <v>47</v>
      </c>
    </row>
    <row r="2" spans="1:2">
      <c r="A2" s="1" t="s">
        <v>66</v>
      </c>
      <c r="B2" s="1" t="s">
        <v>75</v>
      </c>
    </row>
    <row r="3" spans="1:2">
      <c r="A3" s="1" t="s">
        <v>68</v>
      </c>
      <c r="B3" s="1" t="s">
        <v>76</v>
      </c>
    </row>
    <row r="6" spans="1:2">
      <c r="A6" s="1"/>
      <c r="B6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077E-4A9E-441D-81F1-9D23E832F31B}">
  <sheetPr codeName="Sheet3"/>
  <dimension ref="A1:A3"/>
  <sheetViews>
    <sheetView workbookViewId="0">
      <selection activeCell="A2" sqref="A2"/>
    </sheetView>
  </sheetViews>
  <sheetFormatPr defaultRowHeight="14.25"/>
  <sheetData>
    <row r="1" spans="1:1">
      <c r="A1" t="s">
        <v>61</v>
      </c>
    </row>
    <row r="2" spans="1:1">
      <c r="A2" t="s">
        <v>63</v>
      </c>
    </row>
    <row r="3" spans="1:1">
      <c r="A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WBS data</vt:lpstr>
      <vt:lpstr>Resource Allocation</vt:lpstr>
      <vt:lpstr>Settings</vt:lpstr>
      <vt:lpstr>test</vt:lpstr>
      <vt:lpstr>test2</vt:lpstr>
      <vt:lpstr>Database</vt:lpstr>
      <vt:lpstr>WBS View</vt:lpstr>
      <vt:lpstr>Tasks</vt:lpstr>
      <vt:lpstr>Resources</vt:lpstr>
      <vt:lpstr>(note)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2025-04-05T00:33:20Z</dcterms:modified>
</cp:coreProperties>
</file>